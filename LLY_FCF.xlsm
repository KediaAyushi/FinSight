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ay\Desktop\MSQF\FM\Project\"/>
    </mc:Choice>
  </mc:AlternateContent>
  <xr:revisionPtr revIDLastSave="0" documentId="13_ncr:1_{F5C1B40C-A878-478C-9163-F8C69D8910C9}" xr6:coauthVersionLast="47" xr6:coauthVersionMax="47" xr10:uidLastSave="{00000000-0000-0000-0000-000000000000}"/>
  <bookViews>
    <workbookView xWindow="-110" yWindow="-110" windowWidth="19420" windowHeight="10300" firstSheet="11" activeTab="14" xr2:uid="{43069FE1-839A-4769-A154-C9429FD43F72}"/>
  </bookViews>
  <sheets>
    <sheet name="LLY Income Statement" sheetId="1" r:id="rId1"/>
    <sheet name="LLY Balance Sheet" sheetId="2" r:id="rId2"/>
    <sheet name="LLY Cash-flows" sheetId="3" r:id="rId3"/>
    <sheet name="YoY sales growth" sheetId="4" r:id="rId4"/>
    <sheet name="Operating costs analysis" sheetId="8" r:id="rId5"/>
    <sheet name="Fixed asset analysis" sheetId="6" r:id="rId6"/>
    <sheet name="NWC analysis" sheetId="5" r:id="rId7"/>
    <sheet name="Depreciation analysis" sheetId="7" r:id="rId8"/>
    <sheet name="Dividend analysis" sheetId="9" r:id="rId9"/>
    <sheet name="Liabilities analysis" sheetId="10" r:id="rId10"/>
    <sheet name="Interest Rate on Debt Analysis" sheetId="20" r:id="rId11"/>
    <sheet name="Tax rate analysis" sheetId="11" r:id="rId12"/>
    <sheet name="rf" sheetId="17" r:id="rId13"/>
    <sheet name="Cash and Equivalents" sheetId="13" r:id="rId14"/>
    <sheet name="LLY pro-forma" sheetId="14" r:id="rId15"/>
    <sheet name="WACC" sheetId="15" r:id="rId16"/>
    <sheet name="E(rM)" sheetId="18" r:id="rId17"/>
  </sheets>
  <functionGroups builtInGroupCount="19"/>
  <definedNames>
    <definedName name="solver_eng" localSheetId="14" hidden="1">1</definedName>
    <definedName name="solver_neg" localSheetId="14" hidden="1">1</definedName>
    <definedName name="solver_num" localSheetId="14" hidden="1">0</definedName>
    <definedName name="solver_opt" localSheetId="14" hidden="1">'LLY pro-forma'!$A$109</definedName>
    <definedName name="solver_typ" localSheetId="14" hidden="1">1</definedName>
    <definedName name="solver_val" localSheetId="14" hidden="1">0</definedName>
    <definedName name="solver_ver" localSheetId="14" hidden="1">3</definedName>
  </definedNames>
  <calcPr calcId="191029" iterate="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0" l="1"/>
  <c r="C13" i="10"/>
  <c r="D13" i="10"/>
  <c r="E13" i="10"/>
  <c r="B13" i="10"/>
  <c r="C12" i="10"/>
  <c r="D12" i="10"/>
  <c r="E12" i="10"/>
  <c r="B12" i="10"/>
  <c r="E6" i="14"/>
  <c r="F6" i="14"/>
  <c r="G6" i="14"/>
  <c r="D6" i="14"/>
  <c r="B12" i="15"/>
  <c r="B14" i="15"/>
  <c r="B15" i="15"/>
  <c r="B8" i="15"/>
  <c r="B6" i="15"/>
  <c r="C6" i="14"/>
  <c r="B7" i="20"/>
  <c r="C5" i="20"/>
  <c r="D5" i="20"/>
  <c r="E5" i="20"/>
  <c r="B5" i="20"/>
  <c r="C4" i="20"/>
  <c r="D4" i="20"/>
  <c r="E4" i="20"/>
  <c r="B4" i="20"/>
  <c r="C3" i="20"/>
  <c r="D3" i="20"/>
  <c r="E3" i="20"/>
  <c r="B3" i="20"/>
  <c r="A3" i="20"/>
  <c r="E2" i="20"/>
  <c r="D2" i="20"/>
  <c r="C2" i="20"/>
  <c r="B2" i="20"/>
  <c r="C4" i="9"/>
  <c r="C3" i="9"/>
  <c r="C9" i="9"/>
  <c r="D4" i="9"/>
  <c r="D3" i="9"/>
  <c r="D9" i="9"/>
  <c r="E4" i="9"/>
  <c r="E3" i="9"/>
  <c r="E9" i="9"/>
  <c r="B4" i="9"/>
  <c r="B3" i="9"/>
  <c r="B9" i="9"/>
  <c r="C13" i="7"/>
  <c r="D13" i="7"/>
  <c r="E13" i="7"/>
  <c r="B13" i="7"/>
  <c r="C12" i="7"/>
  <c r="D12" i="7"/>
  <c r="E12" i="7"/>
  <c r="B12" i="7"/>
  <c r="A12" i="7"/>
  <c r="B14" i="2"/>
  <c r="I4" i="2"/>
  <c r="C14" i="2"/>
  <c r="J4" i="2"/>
  <c r="D14" i="2"/>
  <c r="K4" i="2"/>
  <c r="E14" i="2"/>
  <c r="L4" i="2"/>
  <c r="M4" i="2"/>
  <c r="B9" i="2"/>
  <c r="I5" i="2"/>
  <c r="C9" i="2"/>
  <c r="J5" i="2"/>
  <c r="D9" i="2"/>
  <c r="K5" i="2"/>
  <c r="E9" i="2"/>
  <c r="L5" i="2"/>
  <c r="M5" i="2"/>
  <c r="I6" i="2"/>
  <c r="J6" i="2"/>
  <c r="K6" i="2"/>
  <c r="L6" i="2"/>
  <c r="M6" i="2"/>
  <c r="I7" i="2"/>
  <c r="J7" i="2"/>
  <c r="K7" i="2"/>
  <c r="L7" i="2"/>
  <c r="M7" i="2"/>
  <c r="B17" i="2"/>
  <c r="I8" i="2"/>
  <c r="C17" i="2"/>
  <c r="J8" i="2"/>
  <c r="D17" i="2"/>
  <c r="K8" i="2"/>
  <c r="E17" i="2"/>
  <c r="L8" i="2"/>
  <c r="M8" i="2"/>
  <c r="I9" i="2"/>
  <c r="J9" i="2"/>
  <c r="K9" i="2"/>
  <c r="L9" i="2"/>
  <c r="M9" i="2"/>
  <c r="B22" i="2"/>
  <c r="B24" i="2"/>
  <c r="B30" i="2"/>
  <c r="I12" i="2"/>
  <c r="C24" i="2"/>
  <c r="C30" i="2"/>
  <c r="J12" i="2"/>
  <c r="D24" i="2"/>
  <c r="D30" i="2"/>
  <c r="K12" i="2"/>
  <c r="E22" i="2"/>
  <c r="E24" i="2"/>
  <c r="E28" i="2"/>
  <c r="E30" i="2"/>
  <c r="L12" i="2"/>
  <c r="M12" i="2"/>
  <c r="I13" i="2"/>
  <c r="J13" i="2"/>
  <c r="D6" i="2"/>
  <c r="K13" i="2"/>
  <c r="E6" i="2"/>
  <c r="L13" i="2"/>
  <c r="M13" i="2"/>
  <c r="I14" i="2"/>
  <c r="J14" i="2"/>
  <c r="K14" i="2"/>
  <c r="L14" i="2"/>
  <c r="M14" i="2"/>
  <c r="I16" i="2"/>
  <c r="J16" i="2"/>
  <c r="K16" i="2"/>
  <c r="L16" i="2"/>
  <c r="M16" i="2"/>
  <c r="B7" i="15"/>
  <c r="B5" i="18"/>
  <c r="C5" i="18"/>
  <c r="B20" i="3"/>
  <c r="E7" i="3"/>
  <c r="D7" i="3"/>
  <c r="C7" i="3"/>
  <c r="B7" i="3"/>
  <c r="C18" i="1"/>
  <c r="D18" i="1"/>
  <c r="E18" i="1"/>
  <c r="B18" i="1"/>
  <c r="E12" i="1"/>
  <c r="D12" i="1"/>
  <c r="C12" i="1"/>
  <c r="B12" i="1"/>
  <c r="B9" i="1"/>
  <c r="A84" i="14"/>
  <c r="A3" i="6"/>
  <c r="A3" i="7"/>
  <c r="H64" i="14"/>
  <c r="F5" i="11"/>
  <c r="F43" i="2"/>
  <c r="H62" i="14"/>
  <c r="H63" i="14"/>
  <c r="H52" i="14"/>
  <c r="H54" i="14"/>
  <c r="C85" i="14"/>
  <c r="C4" i="15"/>
  <c r="C82" i="14"/>
  <c r="H51" i="14"/>
  <c r="H88" i="14"/>
  <c r="H57" i="14"/>
  <c r="H58" i="14"/>
  <c r="H56" i="14"/>
  <c r="H55" i="14"/>
  <c r="C14" i="15"/>
  <c r="H53" i="14"/>
  <c r="C15" i="15"/>
  <c r="B4" i="15"/>
  <c r="D44" i="14"/>
  <c r="E44" i="14"/>
  <c r="F44" i="14"/>
  <c r="G44" i="14"/>
  <c r="B25" i="14"/>
  <c r="C6" i="8"/>
  <c r="D6" i="8"/>
  <c r="E6" i="8"/>
  <c r="C7" i="8"/>
  <c r="D7" i="8"/>
  <c r="E7" i="8"/>
  <c r="B7" i="8"/>
  <c r="B6" i="8"/>
  <c r="E8" i="8"/>
  <c r="D8" i="8"/>
  <c r="C8" i="8"/>
  <c r="E4" i="8"/>
  <c r="D4" i="8"/>
  <c r="C4" i="8"/>
  <c r="B8" i="8"/>
  <c r="A7" i="8"/>
  <c r="A6" i="8"/>
  <c r="B21" i="14"/>
  <c r="B56" i="14"/>
  <c r="B22" i="14"/>
  <c r="B57" i="14"/>
  <c r="B23" i="14"/>
  <c r="B52" i="14"/>
  <c r="B36" i="14"/>
  <c r="B38" i="14"/>
  <c r="A38" i="14"/>
  <c r="B40" i="14"/>
  <c r="C40" i="14"/>
  <c r="D40" i="14"/>
  <c r="E40" i="14"/>
  <c r="F40" i="14"/>
  <c r="G40" i="14"/>
  <c r="B39" i="14"/>
  <c r="C39" i="14"/>
  <c r="D39" i="14"/>
  <c r="E39" i="14"/>
  <c r="F39" i="14"/>
  <c r="G39" i="14"/>
  <c r="B45" i="14"/>
  <c r="B46" i="14"/>
  <c r="F6" i="8"/>
  <c r="H12" i="14"/>
  <c r="H7" i="14"/>
  <c r="F7" i="8"/>
  <c r="H39" i="14"/>
  <c r="H38" i="14"/>
  <c r="H10" i="14"/>
  <c r="H9" i="14"/>
  <c r="H8" i="14"/>
  <c r="H13" i="14"/>
  <c r="C79" i="14"/>
  <c r="H40" i="14"/>
  <c r="B79" i="14"/>
  <c r="C38" i="14"/>
  <c r="D38" i="14"/>
  <c r="E38" i="14"/>
  <c r="F38" i="14"/>
  <c r="G38" i="14"/>
  <c r="B17" i="14"/>
  <c r="D72" i="14"/>
  <c r="E72" i="14"/>
  <c r="F72" i="14"/>
  <c r="G72" i="14"/>
  <c r="C45" i="14"/>
  <c r="D45" i="14"/>
  <c r="E45" i="14"/>
  <c r="F45" i="14"/>
  <c r="G45" i="14"/>
  <c r="C77" i="14"/>
  <c r="H33" i="14"/>
  <c r="H28" i="14"/>
  <c r="H19" i="14"/>
  <c r="C80" i="14"/>
  <c r="H41" i="14"/>
  <c r="H22" i="14"/>
  <c r="C78" i="14"/>
  <c r="H18" i="14"/>
  <c r="H27" i="14"/>
  <c r="H71" i="14"/>
  <c r="H37" i="14"/>
  <c r="C108" i="14"/>
  <c r="H26" i="14"/>
  <c r="H46" i="14"/>
  <c r="H45" i="14"/>
  <c r="H24" i="14"/>
  <c r="H43" i="14"/>
  <c r="H35" i="14"/>
  <c r="H73" i="14"/>
  <c r="H47" i="14"/>
  <c r="H6" i="14"/>
  <c r="H5" i="14"/>
  <c r="H29" i="14"/>
  <c r="H36" i="14"/>
  <c r="H32" i="14"/>
  <c r="H74" i="14"/>
  <c r="H25" i="14"/>
  <c r="H44" i="14"/>
  <c r="H4" i="14"/>
  <c r="C81" i="14"/>
  <c r="H23" i="14"/>
  <c r="H21" i="14"/>
  <c r="H17" i="14"/>
  <c r="H20" i="14"/>
  <c r="C76" i="14"/>
  <c r="D21" i="14"/>
  <c r="E21" i="14"/>
  <c r="F21" i="14"/>
  <c r="G21" i="14"/>
  <c r="B3" i="13"/>
  <c r="C3" i="13"/>
  <c r="D3" i="13"/>
  <c r="E3" i="13"/>
  <c r="B4" i="13"/>
  <c r="B5" i="13"/>
  <c r="C4" i="13"/>
  <c r="D4" i="13"/>
  <c r="E4" i="13"/>
  <c r="A4" i="13"/>
  <c r="A3" i="13"/>
  <c r="E2" i="13"/>
  <c r="D2" i="13"/>
  <c r="C2" i="13"/>
  <c r="B2" i="13"/>
  <c r="F5" i="13"/>
  <c r="E5" i="13"/>
  <c r="B32" i="14"/>
  <c r="D5" i="13"/>
  <c r="C5" i="13"/>
  <c r="B4" i="11"/>
  <c r="C4" i="11"/>
  <c r="D4" i="11"/>
  <c r="E4" i="11"/>
  <c r="A4" i="11"/>
  <c r="A3" i="11"/>
  <c r="E2" i="11"/>
  <c r="D2" i="11"/>
  <c r="C2" i="11"/>
  <c r="B2" i="11"/>
  <c r="C4" i="10"/>
  <c r="D4" i="10"/>
  <c r="E4" i="10"/>
  <c r="C5" i="10"/>
  <c r="D5" i="10"/>
  <c r="E5" i="10"/>
  <c r="C6" i="10"/>
  <c r="D6" i="10"/>
  <c r="E6" i="10"/>
  <c r="C7" i="10"/>
  <c r="D7" i="10"/>
  <c r="E7" i="10"/>
  <c r="C8" i="10"/>
  <c r="D8" i="10"/>
  <c r="E8" i="10"/>
  <c r="C9" i="10"/>
  <c r="D9" i="10"/>
  <c r="E9" i="10"/>
  <c r="A4" i="10"/>
  <c r="A5" i="10"/>
  <c r="A6" i="10"/>
  <c r="A7" i="10"/>
  <c r="A8" i="10"/>
  <c r="A9" i="10"/>
  <c r="B9" i="10"/>
  <c r="B8" i="10"/>
  <c r="B7" i="10"/>
  <c r="B6" i="10"/>
  <c r="B5" i="10"/>
  <c r="B4" i="10"/>
  <c r="E2" i="10"/>
  <c r="D2" i="10"/>
  <c r="C2" i="10"/>
  <c r="B2" i="10"/>
  <c r="C8" i="11"/>
  <c r="C9" i="11"/>
  <c r="F10" i="10"/>
  <c r="C10" i="10"/>
  <c r="E10" i="10"/>
  <c r="B10" i="10"/>
  <c r="D10" i="10"/>
  <c r="A3" i="9"/>
  <c r="A4" i="9"/>
  <c r="E2" i="9"/>
  <c r="D2" i="9"/>
  <c r="C2" i="9"/>
  <c r="B2" i="9"/>
  <c r="C12" i="8"/>
  <c r="C7" i="9"/>
  <c r="C13" i="8"/>
  <c r="E5" i="9"/>
  <c r="B28" i="14"/>
  <c r="D5" i="9"/>
  <c r="B7" i="9"/>
  <c r="C13" i="14"/>
  <c r="D13" i="14"/>
  <c r="E13" i="14"/>
  <c r="F13" i="14"/>
  <c r="G13" i="14"/>
  <c r="C5" i="9"/>
  <c r="A8" i="8"/>
  <c r="A5" i="8"/>
  <c r="B4" i="8"/>
  <c r="A4" i="8"/>
  <c r="E3" i="8"/>
  <c r="E7" i="6"/>
  <c r="D3" i="8"/>
  <c r="D7" i="6"/>
  <c r="C3" i="8"/>
  <c r="C7" i="6"/>
  <c r="B3" i="8"/>
  <c r="B7" i="6"/>
  <c r="A3" i="8"/>
  <c r="A7" i="6"/>
  <c r="E7" i="7"/>
  <c r="D7" i="7"/>
  <c r="C7" i="7"/>
  <c r="B7" i="7"/>
  <c r="A5" i="7"/>
  <c r="E4" i="7"/>
  <c r="D4" i="7"/>
  <c r="C4" i="7"/>
  <c r="B4" i="7"/>
  <c r="A4" i="7"/>
  <c r="E3" i="7"/>
  <c r="E8" i="7"/>
  <c r="D3" i="7"/>
  <c r="C3" i="7"/>
  <c r="C8" i="7"/>
  <c r="B3" i="7"/>
  <c r="B8" i="7"/>
  <c r="E2" i="7"/>
  <c r="D2" i="7"/>
  <c r="C2" i="7"/>
  <c r="B2" i="7"/>
  <c r="E4" i="6"/>
  <c r="D4" i="6"/>
  <c r="C4" i="6"/>
  <c r="B4" i="6"/>
  <c r="E3" i="6"/>
  <c r="D3" i="6"/>
  <c r="C3" i="6"/>
  <c r="B3" i="6"/>
  <c r="A5" i="6"/>
  <c r="A4" i="6"/>
  <c r="C10" i="7"/>
  <c r="F10" i="6"/>
  <c r="F9" i="6"/>
  <c r="F8" i="7"/>
  <c r="F10" i="8"/>
  <c r="F5" i="8"/>
  <c r="C13" i="6"/>
  <c r="F9" i="8"/>
  <c r="F3" i="8"/>
  <c r="F8" i="8"/>
  <c r="C14" i="6"/>
  <c r="F4" i="8"/>
  <c r="D8" i="7"/>
  <c r="B10" i="7"/>
  <c r="C10" i="14"/>
  <c r="D10" i="14"/>
  <c r="E10" i="14"/>
  <c r="F10" i="14"/>
  <c r="G10" i="14"/>
  <c r="C28" i="14"/>
  <c r="D28" i="14"/>
  <c r="E28" i="14"/>
  <c r="F28" i="14"/>
  <c r="G28" i="14"/>
  <c r="E9" i="6"/>
  <c r="C9" i="6"/>
  <c r="B9" i="6"/>
  <c r="D9" i="6"/>
  <c r="E3" i="5"/>
  <c r="D3" i="5"/>
  <c r="C3" i="5"/>
  <c r="B3" i="5"/>
  <c r="A3" i="5"/>
  <c r="C6" i="5"/>
  <c r="D6" i="5"/>
  <c r="E6" i="5"/>
  <c r="C7" i="5"/>
  <c r="D7" i="5"/>
  <c r="E7" i="5"/>
  <c r="C8" i="5"/>
  <c r="D8" i="5"/>
  <c r="E8" i="5"/>
  <c r="C13" i="5"/>
  <c r="D13" i="5"/>
  <c r="E13" i="5"/>
  <c r="C14" i="5"/>
  <c r="D14" i="5"/>
  <c r="E14" i="5"/>
  <c r="A6" i="5"/>
  <c r="A7" i="5"/>
  <c r="A8" i="5"/>
  <c r="A13" i="5"/>
  <c r="A14" i="5"/>
  <c r="B14" i="5"/>
  <c r="B13" i="5"/>
  <c r="B8" i="5"/>
  <c r="B7" i="5"/>
  <c r="B6" i="5"/>
  <c r="B9" i="5"/>
  <c r="F9" i="5"/>
  <c r="F10" i="5"/>
  <c r="F16" i="5"/>
  <c r="F19" i="5"/>
  <c r="F18" i="5"/>
  <c r="F15" i="5"/>
  <c r="B15" i="5"/>
  <c r="B16" i="5"/>
  <c r="C15" i="5"/>
  <c r="C16" i="5"/>
  <c r="C9" i="5"/>
  <c r="C10" i="5"/>
  <c r="B13" i="6"/>
  <c r="B10" i="5"/>
  <c r="D9" i="5"/>
  <c r="D15" i="5"/>
  <c r="D16" i="5"/>
  <c r="E9" i="5"/>
  <c r="B33" i="14"/>
  <c r="E15" i="5"/>
  <c r="B20" i="4"/>
  <c r="B19" i="4"/>
  <c r="B18" i="4"/>
  <c r="B17" i="4"/>
  <c r="B14" i="4"/>
  <c r="C3" i="14"/>
  <c r="C4" i="4"/>
  <c r="C5" i="4"/>
  <c r="C6" i="4"/>
  <c r="C7" i="4"/>
  <c r="C8" i="4"/>
  <c r="C9" i="4"/>
  <c r="C10" i="4"/>
  <c r="C11" i="4"/>
  <c r="C3" i="4"/>
  <c r="C18" i="5"/>
  <c r="C19" i="5"/>
  <c r="B53" i="14"/>
  <c r="B18" i="5"/>
  <c r="B19" i="5"/>
  <c r="B44" i="14"/>
  <c r="D3" i="14"/>
  <c r="E3" i="14"/>
  <c r="F3" i="14"/>
  <c r="G3" i="14"/>
  <c r="C17" i="14"/>
  <c r="E16" i="5"/>
  <c r="C8" i="14"/>
  <c r="D8" i="14"/>
  <c r="E8" i="14"/>
  <c r="F8" i="14"/>
  <c r="G8" i="14"/>
  <c r="B43" i="14"/>
  <c r="D18" i="5"/>
  <c r="D19" i="5"/>
  <c r="E18" i="5"/>
  <c r="E19" i="5"/>
  <c r="E10" i="5"/>
  <c r="D10" i="5"/>
  <c r="C7" i="14"/>
  <c r="D7" i="14"/>
  <c r="E7" i="14"/>
  <c r="F7" i="14"/>
  <c r="G7" i="14"/>
  <c r="D3" i="4"/>
  <c r="C14" i="4"/>
  <c r="C20" i="4"/>
  <c r="C18" i="4"/>
  <c r="D4" i="4"/>
  <c r="C19" i="4"/>
  <c r="C17" i="4"/>
  <c r="B47" i="14"/>
  <c r="B54" i="14"/>
  <c r="B80" i="14"/>
  <c r="C21" i="14"/>
  <c r="C56" i="14"/>
  <c r="B5" i="15"/>
  <c r="B68" i="14"/>
  <c r="C43" i="14"/>
  <c r="C54" i="14"/>
  <c r="D17" i="14"/>
  <c r="C33" i="14"/>
  <c r="B34" i="3"/>
  <c r="C34" i="3"/>
  <c r="D34" i="3"/>
  <c r="E34" i="3"/>
  <c r="C24" i="3"/>
  <c r="D24" i="3"/>
  <c r="E24" i="3"/>
  <c r="D16" i="3"/>
  <c r="B16" i="3"/>
  <c r="C16" i="3"/>
  <c r="E16" i="3"/>
  <c r="B39" i="2"/>
  <c r="B41" i="2"/>
  <c r="C39" i="2"/>
  <c r="C41" i="2"/>
  <c r="D39" i="2"/>
  <c r="D41" i="2"/>
  <c r="E39" i="2"/>
  <c r="E41" i="2"/>
  <c r="B27" i="2"/>
  <c r="B31" i="2"/>
  <c r="C27" i="2"/>
  <c r="C31" i="2"/>
  <c r="D27" i="2"/>
  <c r="D31" i="2"/>
  <c r="E27" i="2"/>
  <c r="E31" i="2"/>
  <c r="B10" i="2"/>
  <c r="C10" i="2"/>
  <c r="D10" i="2"/>
  <c r="E10" i="2"/>
  <c r="C53" i="14"/>
  <c r="C5" i="6"/>
  <c r="C10" i="6"/>
  <c r="C5" i="7"/>
  <c r="B5" i="6"/>
  <c r="B10" i="6"/>
  <c r="B5" i="7"/>
  <c r="D43" i="14"/>
  <c r="D54" i="14"/>
  <c r="D33" i="14"/>
  <c r="D53" i="14"/>
  <c r="E17" i="14"/>
  <c r="C36" i="3"/>
  <c r="E73" i="14"/>
  <c r="F73" i="14"/>
  <c r="D73" i="14"/>
  <c r="C73" i="14"/>
  <c r="G73" i="14"/>
  <c r="E5" i="7"/>
  <c r="E5" i="6"/>
  <c r="E10" i="6"/>
  <c r="D5" i="7"/>
  <c r="D5" i="6"/>
  <c r="D10" i="6"/>
  <c r="E42" i="2"/>
  <c r="D42" i="2"/>
  <c r="C42" i="2"/>
  <c r="B42" i="2"/>
  <c r="E36" i="3"/>
  <c r="D36" i="3"/>
  <c r="B24" i="3"/>
  <c r="B36" i="3"/>
  <c r="E18" i="2"/>
  <c r="D18" i="2"/>
  <c r="B18" i="2"/>
  <c r="C18" i="2"/>
  <c r="C43" i="2"/>
  <c r="B43" i="2"/>
  <c r="E43" i="14"/>
  <c r="E54" i="14"/>
  <c r="F17" i="14"/>
  <c r="E33" i="14"/>
  <c r="E53" i="14"/>
  <c r="B14" i="6"/>
  <c r="C9" i="14"/>
  <c r="E43" i="2"/>
  <c r="D43" i="2"/>
  <c r="B13" i="1"/>
  <c r="B5" i="8"/>
  <c r="B9" i="8"/>
  <c r="C13" i="1"/>
  <c r="D13" i="1"/>
  <c r="E13" i="1"/>
  <c r="E5" i="8"/>
  <c r="E9" i="8"/>
  <c r="B5" i="1"/>
  <c r="C5" i="1"/>
  <c r="D5" i="1"/>
  <c r="E5" i="1"/>
  <c r="F33" i="14"/>
  <c r="F53" i="14"/>
  <c r="F43" i="14"/>
  <c r="F54" i="14"/>
  <c r="G17" i="14"/>
  <c r="C5" i="8"/>
  <c r="C9" i="8"/>
  <c r="C10" i="8"/>
  <c r="D9" i="14"/>
  <c r="C37" i="14"/>
  <c r="C63" i="14"/>
  <c r="D5" i="8"/>
  <c r="D9" i="8"/>
  <c r="D10" i="8"/>
  <c r="E10" i="8"/>
  <c r="B18" i="14"/>
  <c r="B19" i="14"/>
  <c r="B10" i="8"/>
  <c r="E14" i="1"/>
  <c r="B14" i="1"/>
  <c r="C14" i="1"/>
  <c r="D14" i="1"/>
  <c r="B12" i="8"/>
  <c r="C4" i="14"/>
  <c r="D4" i="14"/>
  <c r="B13" i="8"/>
  <c r="C5" i="14"/>
  <c r="D5" i="14"/>
  <c r="E5" i="14"/>
  <c r="F5" i="14"/>
  <c r="G5" i="14"/>
  <c r="C16" i="1"/>
  <c r="C3" i="11"/>
  <c r="C5" i="11"/>
  <c r="B16" i="1"/>
  <c r="B3" i="11"/>
  <c r="D37" i="14"/>
  <c r="D63" i="14"/>
  <c r="E9" i="14"/>
  <c r="D16" i="1"/>
  <c r="D3" i="11"/>
  <c r="D5" i="11"/>
  <c r="E16" i="1"/>
  <c r="E3" i="11"/>
  <c r="E5" i="11"/>
  <c r="G43" i="14"/>
  <c r="G54" i="14"/>
  <c r="G33" i="14"/>
  <c r="G53" i="14"/>
  <c r="B24" i="14"/>
  <c r="B20" i="14"/>
  <c r="C18" i="14"/>
  <c r="F9" i="14"/>
  <c r="E37" i="14"/>
  <c r="E63" i="14"/>
  <c r="B5" i="11"/>
  <c r="B8" i="11"/>
  <c r="B9" i="11"/>
  <c r="E4" i="14"/>
  <c r="D18" i="14"/>
  <c r="D12" i="14"/>
  <c r="B26" i="14"/>
  <c r="B51" i="14"/>
  <c r="G9" i="14"/>
  <c r="G37" i="14"/>
  <c r="G63" i="14"/>
  <c r="F37" i="14"/>
  <c r="F63" i="14"/>
  <c r="E12" i="14"/>
  <c r="D56" i="14"/>
  <c r="F4" i="14"/>
  <c r="E18" i="14"/>
  <c r="B29" i="14"/>
  <c r="B27" i="14"/>
  <c r="F12" i="14"/>
  <c r="E56" i="14"/>
  <c r="G4" i="14"/>
  <c r="G18" i="14"/>
  <c r="F18" i="14"/>
  <c r="C19" i="14"/>
  <c r="G12" i="14"/>
  <c r="G56" i="14"/>
  <c r="F56" i="14"/>
  <c r="D19" i="14"/>
  <c r="C20" i="14"/>
  <c r="E19" i="14"/>
  <c r="D20" i="14"/>
  <c r="G19" i="14"/>
  <c r="F19" i="14"/>
  <c r="E20" i="14"/>
  <c r="F20" i="14"/>
  <c r="G20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9" i="14"/>
  <c r="D29" i="14"/>
  <c r="E29" i="14"/>
  <c r="F29" i="14"/>
  <c r="G29" i="14"/>
  <c r="C32" i="14"/>
  <c r="D32" i="14"/>
  <c r="E32" i="14"/>
  <c r="F32" i="14"/>
  <c r="G32" i="14"/>
  <c r="B35" i="14"/>
  <c r="C35" i="14"/>
  <c r="D35" i="14"/>
  <c r="E35" i="14"/>
  <c r="F35" i="14"/>
  <c r="G35" i="14"/>
  <c r="C36" i="14"/>
  <c r="D36" i="14"/>
  <c r="E36" i="14"/>
  <c r="F36" i="14"/>
  <c r="G36" i="14"/>
  <c r="B37" i="14"/>
  <c r="B41" i="14"/>
  <c r="C41" i="14"/>
  <c r="D41" i="14"/>
  <c r="E41" i="14"/>
  <c r="F41" i="14"/>
  <c r="G41" i="14"/>
  <c r="C46" i="14"/>
  <c r="D46" i="14"/>
  <c r="E46" i="14"/>
  <c r="F46" i="14"/>
  <c r="G46" i="14"/>
  <c r="C47" i="14"/>
  <c r="D47" i="14"/>
  <c r="E47" i="14"/>
  <c r="F47" i="14"/>
  <c r="G47" i="14"/>
  <c r="C51" i="14"/>
  <c r="D51" i="14"/>
  <c r="E51" i="14"/>
  <c r="F51" i="14"/>
  <c r="G51" i="14"/>
  <c r="C52" i="14"/>
  <c r="D52" i="14"/>
  <c r="E52" i="14"/>
  <c r="F52" i="14"/>
  <c r="G52" i="14"/>
  <c r="B55" i="14"/>
  <c r="C55" i="14"/>
  <c r="D55" i="14"/>
  <c r="E55" i="14"/>
  <c r="F55" i="14"/>
  <c r="G55" i="14"/>
  <c r="C57" i="14"/>
  <c r="D57" i="14"/>
  <c r="E57" i="14"/>
  <c r="F57" i="14"/>
  <c r="G57" i="14"/>
  <c r="B58" i="14"/>
  <c r="C58" i="14"/>
  <c r="D58" i="14"/>
  <c r="E58" i="14"/>
  <c r="F58" i="14"/>
  <c r="G58" i="14"/>
  <c r="C62" i="14"/>
  <c r="D62" i="14"/>
  <c r="E62" i="14"/>
  <c r="F62" i="14"/>
  <c r="G62" i="14"/>
  <c r="B63" i="14"/>
  <c r="C64" i="14"/>
  <c r="D64" i="14"/>
  <c r="E64" i="14"/>
  <c r="F64" i="14"/>
  <c r="G64" i="14"/>
  <c r="C71" i="14"/>
  <c r="D71" i="14"/>
  <c r="E71" i="14"/>
  <c r="F71" i="14"/>
  <c r="G71" i="14"/>
  <c r="C74" i="14"/>
  <c r="D74" i="14"/>
  <c r="E74" i="14"/>
  <c r="F74" i="14"/>
  <c r="G74" i="14"/>
  <c r="B76" i="14"/>
  <c r="B77" i="14"/>
  <c r="B78" i="14"/>
  <c r="B81" i="14"/>
  <c r="B82" i="14"/>
  <c r="A87" i="14"/>
  <c r="A109" i="14"/>
</calcChain>
</file>

<file path=xl/sharedStrings.xml><?xml version="1.0" encoding="utf-8"?>
<sst xmlns="http://schemas.openxmlformats.org/spreadsheetml/2006/main" count="280" uniqueCount="253">
  <si>
    <t>Sales</t>
  </si>
  <si>
    <t>Cost of sales</t>
  </si>
  <si>
    <t>Selling, general and administrative</t>
  </si>
  <si>
    <t>Research and development</t>
  </si>
  <si>
    <t>Restructuring costs</t>
  </si>
  <si>
    <t>Other (income) expense, net</t>
  </si>
  <si>
    <t>Gross profit</t>
  </si>
  <si>
    <t>Interest income</t>
  </si>
  <si>
    <t>Interest expense</t>
  </si>
  <si>
    <t>Assets</t>
  </si>
  <si>
    <t>Cash and cash equivalents</t>
  </si>
  <si>
    <t>Short-term investments</t>
  </si>
  <si>
    <t>Other current assets</t>
  </si>
  <si>
    <t>Total current assets</t>
  </si>
  <si>
    <t>Investments</t>
  </si>
  <si>
    <t>Goodwill</t>
  </si>
  <si>
    <t>Total current liabilities</t>
  </si>
  <si>
    <t>Other paid-in capital</t>
  </si>
  <si>
    <t>Retained earnings</t>
  </si>
  <si>
    <t>Accumulated other comprehensive loss</t>
  </si>
  <si>
    <t>Total equity</t>
  </si>
  <si>
    <t>Accounts receivable</t>
  </si>
  <si>
    <t>Inventories</t>
  </si>
  <si>
    <t>Net PP&amp;E</t>
  </si>
  <si>
    <t>Loans payable and current portion of long-term debt</t>
  </si>
  <si>
    <t>Trade accounts payable</t>
  </si>
  <si>
    <t>Accrued and other current liabilities</t>
  </si>
  <si>
    <t>Income taxes payable</t>
  </si>
  <si>
    <t>Common stock</t>
  </si>
  <si>
    <t>Less treasury stock, at cost</t>
  </si>
  <si>
    <t>Other</t>
  </si>
  <si>
    <t>Capital expenditures</t>
  </si>
  <si>
    <t>Purchases of securities and other investments</t>
  </si>
  <si>
    <t>Proceeds from sales of securities and other investments</t>
  </si>
  <si>
    <t>Acquisitions, net of cash acquired</t>
  </si>
  <si>
    <t>Cash Flows from Financing Activities</t>
  </si>
  <si>
    <t>Net change in short-term borrowings</t>
  </si>
  <si>
    <t>Payments on debt</t>
  </si>
  <si>
    <t>Proceeds from issuance of debt</t>
  </si>
  <si>
    <t>Dividends paid to stockholders</t>
  </si>
  <si>
    <t>Proceeds from exercise of stock options</t>
  </si>
  <si>
    <t>Net income</t>
  </si>
  <si>
    <t>Adjustments to reconcile net income to net cash provided by operating activities:</t>
  </si>
  <si>
    <t>Depreciation and amortization</t>
  </si>
  <si>
    <t>Net changes in assets and liabilities:</t>
  </si>
  <si>
    <t>Operational assets</t>
  </si>
  <si>
    <t>Fixed assets</t>
  </si>
  <si>
    <t>Net working capital</t>
  </si>
  <si>
    <t>Intangible assets</t>
  </si>
  <si>
    <t>Total operational assets</t>
  </si>
  <si>
    <t>Excess assets</t>
  </si>
  <si>
    <t>Total assets</t>
  </si>
  <si>
    <t>Net financial debt</t>
  </si>
  <si>
    <t>Interest bearing liabilities</t>
  </si>
  <si>
    <t>Less cash and equivalents</t>
  </si>
  <si>
    <t>Equity</t>
  </si>
  <si>
    <t>Revenue ($M)</t>
  </si>
  <si>
    <t>Year-on-year growth</t>
  </si>
  <si>
    <t>Year</t>
  </si>
  <si>
    <t>CAGR</t>
  </si>
  <si>
    <t>CAGR is very affected by the sample!</t>
  </si>
  <si>
    <t>Current operational assets</t>
  </si>
  <si>
    <t>Total current operational assets</t>
  </si>
  <si>
    <t>Current operational liabilities</t>
  </si>
  <si>
    <t>Total current operational liabilities</t>
  </si>
  <si>
    <t>Net working capital (NWC)</t>
  </si>
  <si>
    <t>Current oper. assets % of sales</t>
  </si>
  <si>
    <t>Current oper. liabilities % of sales</t>
  </si>
  <si>
    <t>NWC % of sales</t>
  </si>
  <si>
    <t>Total costs excluding depreciation</t>
  </si>
  <si>
    <t>Intercept</t>
  </si>
  <si>
    <t>Slope</t>
  </si>
  <si>
    <t>Costs excluding depreciation % of sales</t>
  </si>
  <si>
    <t>Net fixed asset/sales</t>
  </si>
  <si>
    <t>Gross fixed asset/sales</t>
  </si>
  <si>
    <t>4-year average</t>
  </si>
  <si>
    <t xml:space="preserve">Depreciation </t>
  </si>
  <si>
    <t>Implied depreciation schedule</t>
  </si>
  <si>
    <t>Average depreciation schedule</t>
  </si>
  <si>
    <t>YoY growth rate</t>
  </si>
  <si>
    <t>Average growth rate</t>
  </si>
  <si>
    <t>Financial liabilities</t>
  </si>
  <si>
    <t>Total financial liabilities</t>
  </si>
  <si>
    <t>Effective tax rate</t>
  </si>
  <si>
    <t>Average tax rate</t>
  </si>
  <si>
    <t>Simple average</t>
  </si>
  <si>
    <t>Weighted average</t>
  </si>
  <si>
    <r>
      <t xml:space="preserve">0 </t>
    </r>
    <r>
      <rPr>
        <b/>
        <sz val="8"/>
        <rFont val="Arial"/>
        <family val="2"/>
      </rPr>
      <t>actual</t>
    </r>
  </si>
  <si>
    <r>
      <t xml:space="preserve">1 </t>
    </r>
    <r>
      <rPr>
        <b/>
        <sz val="8"/>
        <rFont val="Arial"/>
        <family val="2"/>
      </rPr>
      <t>assumption</t>
    </r>
  </si>
  <si>
    <r>
      <t xml:space="preserve">2 </t>
    </r>
    <r>
      <rPr>
        <b/>
        <sz val="8"/>
        <rFont val="Arial"/>
        <family val="2"/>
      </rPr>
      <t>assumption</t>
    </r>
  </si>
  <si>
    <r>
      <t xml:space="preserve">3 </t>
    </r>
    <r>
      <rPr>
        <b/>
        <sz val="8"/>
        <rFont val="Arial"/>
        <family val="2"/>
      </rPr>
      <t>assumption</t>
    </r>
  </si>
  <si>
    <r>
      <t xml:space="preserve">4 </t>
    </r>
    <r>
      <rPr>
        <b/>
        <sz val="8"/>
        <rFont val="Arial"/>
        <family val="2"/>
      </rPr>
      <t>assumption</t>
    </r>
  </si>
  <si>
    <r>
      <t xml:space="preserve">5 </t>
    </r>
    <r>
      <rPr>
        <b/>
        <sz val="8"/>
        <rFont val="Arial"/>
        <family val="2"/>
      </rPr>
      <t>assumption</t>
    </r>
  </si>
  <si>
    <t>Sales growth</t>
  </si>
  <si>
    <t>Interest rate on debt</t>
  </si>
  <si>
    <t>Current assets/Sales</t>
  </si>
  <si>
    <t>Current liabilities/Sales</t>
  </si>
  <si>
    <t>Net fixed assets/Sales</t>
  </si>
  <si>
    <t>Tax rate</t>
  </si>
  <si>
    <t>Income statement</t>
  </si>
  <si>
    <t>Interest payments on debt</t>
  </si>
  <si>
    <t>Interest earned on cash and marketable securities</t>
  </si>
  <si>
    <t>Depreciation</t>
  </si>
  <si>
    <t>Profit before tax</t>
  </si>
  <si>
    <t>Taxes</t>
  </si>
  <si>
    <t>Profit after tax (net profit)</t>
  </si>
  <si>
    <t>Net profit %</t>
  </si>
  <si>
    <t>Dividends</t>
  </si>
  <si>
    <t>Balance sheet</t>
  </si>
  <si>
    <t>Cash and marketable securities</t>
  </si>
  <si>
    <t>Current assets</t>
  </si>
  <si>
    <t xml:space="preserve">     At cost</t>
  </si>
  <si>
    <t xml:space="preserve">     Depreciation</t>
  </si>
  <si>
    <t xml:space="preserve">     Net fixed assets</t>
  </si>
  <si>
    <t>Current liabilities</t>
  </si>
  <si>
    <t>Debt</t>
  </si>
  <si>
    <t>Accumulated retained earnings</t>
  </si>
  <si>
    <t>Total liabilities and equity</t>
  </si>
  <si>
    <t>Free cash flow calculation</t>
  </si>
  <si>
    <t>Profit after tax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</si>
  <si>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</si>
  <si>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</si>
  <si>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</si>
  <si>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</si>
  <si>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</si>
  <si>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Free cash flow</t>
  </si>
  <si>
    <t>VALUING THE FIRM</t>
  </si>
  <si>
    <r>
      <t>Long-term FCF growth rate (g</t>
    </r>
    <r>
      <rPr>
        <vertAlign val="subscript"/>
        <sz val="12.1"/>
        <rFont val="Arial"/>
        <family val="2"/>
      </rPr>
      <t>LT</t>
    </r>
    <r>
      <rPr>
        <sz val="11"/>
        <rFont val="Arial"/>
        <family val="2"/>
      </rPr>
      <t>)</t>
    </r>
  </si>
  <si>
    <t>Assumption</t>
  </si>
  <si>
    <t>Weighted average cost of capital (WACC)</t>
  </si>
  <si>
    <t>Discounting period</t>
  </si>
  <si>
    <t>Discounting factor</t>
  </si>
  <si>
    <t>Discounted FCF</t>
  </si>
  <si>
    <t>Enterprise value</t>
  </si>
  <si>
    <t>Add excess assets</t>
  </si>
  <si>
    <t>Subtract net debt</t>
  </si>
  <si>
    <t>Equity value</t>
  </si>
  <si>
    <t>The effect of long term growth rate and WACC on equity valuation</t>
  </si>
  <si>
    <t>Total operating costs intercept</t>
  </si>
  <si>
    <t>Total operating costs slope</t>
  </si>
  <si>
    <t>Total operating costs excluding depreciation</t>
  </si>
  <si>
    <t>EBITDA %</t>
  </si>
  <si>
    <t>Depreciation schedule</t>
  </si>
  <si>
    <t>Dividend annual growth rate</t>
  </si>
  <si>
    <t>Goodwill and other intangibles</t>
  </si>
  <si>
    <t>Other assets</t>
  </si>
  <si>
    <t>Equity value, E (millions)</t>
  </si>
  <si>
    <t>Net debt, D (millions)</t>
  </si>
  <si>
    <r>
      <t>Cost of debt, r</t>
    </r>
    <r>
      <rPr>
        <vertAlign val="subscript"/>
        <sz val="10"/>
        <rFont val="Arial"/>
        <family val="2"/>
      </rPr>
      <t>D</t>
    </r>
  </si>
  <si>
    <r>
      <t>Tax rate, T</t>
    </r>
    <r>
      <rPr>
        <vertAlign val="subscript"/>
        <sz val="10"/>
        <rFont val="Arial"/>
        <family val="2"/>
      </rPr>
      <t>C</t>
    </r>
  </si>
  <si>
    <t>WACC based on CAPM</t>
  </si>
  <si>
    <r>
      <t>Risk-free rate, r</t>
    </r>
    <r>
      <rPr>
        <vertAlign val="subscript"/>
        <sz val="10"/>
        <rFont val="Arial"/>
        <family val="2"/>
      </rPr>
      <t>f</t>
    </r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</si>
  <si>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</si>
  <si>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t>Using gordon model</t>
  </si>
  <si>
    <r>
      <t xml:space="preserve">Equity beta, </t>
    </r>
    <r>
      <rPr>
        <sz val="10"/>
        <rFont val="Symbol"/>
        <family val="1"/>
        <charset val="2"/>
      </rPr>
      <t>b</t>
    </r>
  </si>
  <si>
    <t>WACC</t>
  </si>
  <si>
    <t>10 year US gov. Bonds</t>
  </si>
  <si>
    <t>Value per share</t>
  </si>
  <si>
    <t>Source:</t>
  </si>
  <si>
    <t>Equity excluding retained earnings</t>
  </si>
  <si>
    <t>Shares outstanding (millions)</t>
  </si>
  <si>
    <t>Return on invested capital calculation (ROIC)</t>
  </si>
  <si>
    <t>Net operating profit less adjusted tax (NOPAT)</t>
  </si>
  <si>
    <t>Invested capital</t>
  </si>
  <si>
    <t>Return on invested capital (ROIC)</t>
  </si>
  <si>
    <t>Other costs, expenses and other</t>
  </si>
  <si>
    <t>Total other costs, expenses and other</t>
  </si>
  <si>
    <t>Income before taxes</t>
  </si>
  <si>
    <t>Taxes on income</t>
  </si>
  <si>
    <t>Less net (Loss) income attributable to noncontrolling interests</t>
  </si>
  <si>
    <t xml:space="preserve"> Earnings per common share attributable to common sharholders</t>
  </si>
  <si>
    <t>Property, plant and equipment (at cost)</t>
  </si>
  <si>
    <t>Less accumulated depreciation</t>
  </si>
  <si>
    <t>Liabilities and equity</t>
  </si>
  <si>
    <t>Long-term debt</t>
  </si>
  <si>
    <t>Deferred income taxes</t>
  </si>
  <si>
    <t>Other noncurrent liabilities</t>
  </si>
  <si>
    <t>Total liabilities</t>
  </si>
  <si>
    <t>Noncontrolling interests</t>
  </si>
  <si>
    <t>Check (assets = liabilities + equity)?</t>
  </si>
  <si>
    <t>Other intangibles, net</t>
  </si>
  <si>
    <t>Cash flows from operating activities</t>
  </si>
  <si>
    <t>Net cash provided by operating activities</t>
  </si>
  <si>
    <t>Cash flows from investing activities</t>
  </si>
  <si>
    <t>Net cash provided by (used in) investing activities</t>
  </si>
  <si>
    <t>Net cash used in financing activities</t>
  </si>
  <si>
    <t>Effect of exchange rate</t>
  </si>
  <si>
    <t>Net increase (decrease) in cash, cash equivalents</t>
  </si>
  <si>
    <t>Date</t>
  </si>
  <si>
    <t>1 Mo</t>
  </si>
  <si>
    <t>2 Mo</t>
  </si>
  <si>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</si>
  <si>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</si>
  <si>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</si>
  <si>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</si>
  <si>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</si>
  <si>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</si>
  <si>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</si>
  <si>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</si>
  <si>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</si>
  <si>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</si>
  <si>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THE RISK-FREE YIELD CURVE</t>
  </si>
  <si>
    <t>https://www.treasury.gov/resource-center/data-chart-center/interest-rates/Pages/default.aspx</t>
  </si>
  <si>
    <t>Total cash and equivalents</t>
  </si>
  <si>
    <t>Earnings before interest taxes depreciation (EBITDA)</t>
  </si>
  <si>
    <t>Less after-tax interest on cash and marketable securities</t>
  </si>
  <si>
    <t>Forecasted future FCFs</t>
  </si>
  <si>
    <t>PV short-term forecast</t>
  </si>
  <si>
    <t>PV long-term forecast (terminal value)</t>
  </si>
  <si>
    <t>↓Short-term sales growth rate; →Long-term growth rate</t>
  </si>
  <si>
    <r>
      <t xml:space="preserve">ELI LILLY &amp; CO. STATEMENT OF INCOME, YEARS ENDED DECEMBER 31
</t>
    </r>
    <r>
      <rPr>
        <b/>
        <sz val="11"/>
        <color theme="1"/>
        <rFont val="Calibri"/>
        <family val="2"/>
      </rPr>
      <t>($ IN MILLIONS EXCEPT PER SHARE AMOUNTS)</t>
    </r>
  </si>
  <si>
    <t>Net income attributable to Eli Lilly &amp; Co. shareholders</t>
  </si>
  <si>
    <r>
      <t xml:space="preserve">ELI LILLY &amp; CO. OPERATIONAL BALANCE SHEET, DECEMBER 31 
</t>
    </r>
    <r>
      <rPr>
        <b/>
        <sz val="11"/>
        <color theme="1"/>
        <rFont val="Calibri"/>
        <family val="2"/>
      </rPr>
      <t>($ IN MILLIONS EXCEPT PER SHARE AMOUNTS)</t>
    </r>
  </si>
  <si>
    <r>
      <t xml:space="preserve">ELI LILLY &amp; CO. CONSOLIDATED BALANCE SHEET, DECEMBER 31 
</t>
    </r>
    <r>
      <rPr>
        <b/>
        <sz val="11"/>
        <color theme="1"/>
        <rFont val="Calibri"/>
        <family val="2"/>
      </rPr>
      <t>($ IN MILLIONS EXCEPT PER SHARE AMOUNTS)</t>
    </r>
  </si>
  <si>
    <t>Short-term Borrowings</t>
  </si>
  <si>
    <r>
      <t xml:space="preserve">ELI LILLY &amp; CO. CONSOLIDATED STATEMENT OF CASH FLOWS,
 </t>
    </r>
    <r>
      <rPr>
        <b/>
        <sz val="11"/>
        <color theme="1"/>
        <rFont val="Calibri"/>
        <family val="2"/>
        <scheme val="minor"/>
      </rPr>
      <t xml:space="preserve">YEARS ENDED DECEMBER 31 </t>
    </r>
    <r>
      <rPr>
        <b/>
        <sz val="11"/>
        <color theme="1"/>
        <rFont val="Calibri"/>
        <family val="2"/>
      </rPr>
      <t>($ IN MILLIONS)</t>
    </r>
  </si>
  <si>
    <t>Net Operating assets</t>
  </si>
  <si>
    <t>Purchases of Common stock</t>
  </si>
  <si>
    <t>2019-2022</t>
  </si>
  <si>
    <t>2017-2022</t>
  </si>
  <si>
    <t>2015-2022</t>
  </si>
  <si>
    <t>2013-2022</t>
  </si>
  <si>
    <t>ANALYSIS OF LLY'S REVENUES</t>
  </si>
  <si>
    <t>LLY COST ANALYSIS</t>
  </si>
  <si>
    <t>LLY WORKING CAPITAL ANALYSIS</t>
  </si>
  <si>
    <t>LLY FIXED ASSET ANALYSIS</t>
  </si>
  <si>
    <t>LLY DEPRECIATION ANALYSIS</t>
  </si>
  <si>
    <t>LLY DIVIDEND ANALYSIS</t>
  </si>
  <si>
    <t>LLY FINANCIAL LIABILITIES ANALYSIS</t>
  </si>
  <si>
    <t>LLY TAX RATE ANALYSIS</t>
  </si>
  <si>
    <t>LLY CASH AND CASH EQUIVALENTS</t>
  </si>
  <si>
    <t>LLY PRO FORMA MODEL - 5 year forecast</t>
  </si>
  <si>
    <t>COMPUTING THE WACC FOR LLY (DECEMBER 2022)</t>
  </si>
  <si>
    <t>Share price, 31 December 2022</t>
  </si>
  <si>
    <r>
      <t>COMPUTING E(r</t>
    </r>
    <r>
      <rPr>
        <b/>
        <vertAlign val="subscript"/>
        <sz val="14"/>
        <rFont val="Arial"/>
        <family val="2"/>
      </rPr>
      <t>M</t>
    </r>
    <r>
      <rPr>
        <b/>
        <sz val="14"/>
        <rFont val="Arial"/>
        <family val="2"/>
      </rPr>
      <t>) USING MARKET MULTIPLE</t>
    </r>
  </si>
  <si>
    <t>Equity cash flow payout ratio</t>
  </si>
  <si>
    <t>Anticipated growth of market equity cash flow</t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</si>
  <si>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1"/>
        <color theme="1"/>
        <rFont val="Calibri"/>
        <family val="2"/>
        <scheme val="minor"/>
      </rPr>
      <t>)</t>
    </r>
  </si>
  <si>
    <t>Market price/earnings multiple, December 2022</t>
  </si>
  <si>
    <t>Source: Yahoo Finance</t>
  </si>
  <si>
    <t>Accumulated Depreciaion as a % of Sales</t>
  </si>
  <si>
    <t>Dividends as a % of NI to shareholders</t>
  </si>
  <si>
    <t>Total financial liabilities/Sales</t>
  </si>
  <si>
    <t>LLY INTEREST RATE ON DEBT ANALYSIS</t>
  </si>
  <si>
    <t>Total Debt</t>
  </si>
  <si>
    <t xml:space="preserve">Effective Interest Rate </t>
  </si>
  <si>
    <t>Average Effective Interest Rate</t>
  </si>
  <si>
    <t>After Tax Cost of Debt</t>
  </si>
  <si>
    <r>
      <t>Cost of equity, r</t>
    </r>
    <r>
      <rPr>
        <b/>
        <vertAlign val="subscript"/>
        <sz val="10"/>
        <rFont val="Arial"/>
        <family val="2"/>
      </rPr>
      <t>E</t>
    </r>
  </si>
  <si>
    <t>&lt;-- Analyst's estimate. Source: https://stockanalysis.com/stocks/lly/statistics/</t>
  </si>
  <si>
    <t>&lt;-- Source: https://stockanalysis.com/stocks/lly/statistics/</t>
  </si>
  <si>
    <t>Eli Lilly &amp; Co. stockholders’ equity</t>
  </si>
  <si>
    <t>Total Eli Lilly &amp; Co. stockholders’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</si>
</sst>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#,##0,,"/>
    <numFmt numFmtId="166" formatCode="0.0%"/>
    <numFmt numFmtId="167" formatCode="_(* #,##0_);_(* \(#,##0\);_(* &quot;-&quot;??_);_(@_)"/>
    <numFmt numFmtId="168" formatCode="_(* #,##0.0_);_(* \(#,##0.0\);_(* &quot;-&quot;??_);_(@_)"/>
    <numFmt numFmtId="169" formatCode="0_);\(0\)"/>
    <numFmt numFmtId="170" formatCode="#,##0.0000"/>
    <numFmt numFmtId="171" formatCode="[$-409]d/mmm/yy;@"/>
    <numFmt numFmtId="172" formatCode="0.0000%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i/>
      <sz val="11"/>
      <name val="Arial"/>
      <family val="2"/>
    </font>
    <font>
      <i/>
      <sz val="11"/>
      <color theme="1"/>
      <name val="Arial"/>
      <family val="2"/>
    </font>
    <font>
      <b/>
      <sz val="12"/>
      <name val="Arial"/>
      <family val="2"/>
    </font>
    <font>
      <vertAlign val="subscript"/>
      <sz val="12.1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u/>
      <sz val="11"/>
      <color theme="10"/>
      <name val="Calibri"/>
      <family val="2"/>
      <scheme val="minor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vertAlign val="subscript"/>
      <sz val="14"/>
      <name val="Arial"/>
      <family val="2"/>
    </font>
    <font>
      <sz val="11"/>
      <color theme="1"/>
      <name val="Calibri"/>
      <family val="2"/>
      <scheme val="minor"/>
    </font>
    <font>
      <b/>
      <vertAlign val="subscript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5" fillId="0" borderId="0"/>
    <xf numFmtId="164" fontId="5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171" fontId="5" fillId="0" borderId="0"/>
    <xf numFmtId="0" fontId="19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wrapText="1"/>
    </xf>
    <xf numFmtId="3" fontId="0" fillId="0" borderId="0" xfId="0" applyNumberFormat="1"/>
    <xf numFmtId="0" fontId="0" fillId="0" borderId="0" xfId="0" applyAlignment="1">
      <alignment horizontal="left" indent="1"/>
    </xf>
    <xf numFmtId="0" fontId="1" fillId="0" borderId="0" xfId="0" applyFont="1"/>
    <xf numFmtId="3" fontId="1" fillId="0" borderId="0" xfId="0" applyNumberFormat="1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4" fontId="0" fillId="0" borderId="0" xfId="0" applyNumberFormat="1"/>
    <xf numFmtId="0" fontId="2" fillId="0" borderId="0" xfId="0" applyFont="1"/>
    <xf numFmtId="0" fontId="0" fillId="0" borderId="0" xfId="0" applyAlignment="1">
      <alignment horizontal="left" wrapText="1" indent="1"/>
    </xf>
    <xf numFmtId="0" fontId="0" fillId="0" borderId="0" xfId="0" applyAlignment="1">
      <alignment horizontal="left" indent="2"/>
    </xf>
    <xf numFmtId="165" fontId="0" fillId="0" borderId="0" xfId="0" applyNumberFormat="1"/>
    <xf numFmtId="10" fontId="0" fillId="0" borderId="0" xfId="0" applyNumberFormat="1"/>
    <xf numFmtId="0" fontId="0" fillId="2" borderId="0" xfId="0" applyFill="1"/>
    <xf numFmtId="10" fontId="0" fillId="2" borderId="0" xfId="0" applyNumberFormat="1" applyFill="1"/>
    <xf numFmtId="166" fontId="0" fillId="0" borderId="0" xfId="0" applyNumberFormat="1"/>
    <xf numFmtId="9" fontId="0" fillId="0" borderId="0" xfId="0" applyNumberFormat="1"/>
    <xf numFmtId="166" fontId="0" fillId="2" borderId="0" xfId="0" applyNumberFormat="1" applyFill="1"/>
    <xf numFmtId="3" fontId="0" fillId="2" borderId="0" xfId="0" applyNumberFormat="1" applyFill="1"/>
    <xf numFmtId="0" fontId="5" fillId="0" borderId="0" xfId="1"/>
    <xf numFmtId="0" fontId="7" fillId="0" borderId="0" xfId="1" applyFont="1"/>
    <xf numFmtId="0" fontId="8" fillId="0" borderId="0" xfId="1" applyFont="1" applyAlignment="1">
      <alignment horizontal="center"/>
    </xf>
    <xf numFmtId="9" fontId="7" fillId="0" borderId="0" xfId="1" applyNumberFormat="1" applyFont="1"/>
    <xf numFmtId="0" fontId="8" fillId="0" borderId="0" xfId="1" applyFont="1"/>
    <xf numFmtId="167" fontId="10" fillId="0" borderId="0" xfId="2" applyNumberFormat="1" applyFont="1"/>
    <xf numFmtId="167" fontId="11" fillId="0" borderId="0" xfId="2" applyNumberFormat="1" applyFont="1"/>
    <xf numFmtId="0" fontId="12" fillId="0" borderId="0" xfId="1" applyFont="1"/>
    <xf numFmtId="9" fontId="13" fillId="0" borderId="0" xfId="2" applyNumberFormat="1" applyFont="1"/>
    <xf numFmtId="168" fontId="10" fillId="0" borderId="0" xfId="2" applyNumberFormat="1" applyFont="1"/>
    <xf numFmtId="9" fontId="10" fillId="0" borderId="0" xfId="2" applyNumberFormat="1" applyFont="1"/>
    <xf numFmtId="167" fontId="7" fillId="0" borderId="0" xfId="1" applyNumberFormat="1" applyFont="1"/>
    <xf numFmtId="167" fontId="10" fillId="2" borderId="0" xfId="2" applyNumberFormat="1" applyFont="1" applyFill="1"/>
    <xf numFmtId="169" fontId="8" fillId="0" borderId="0" xfId="1" applyNumberFormat="1" applyFont="1"/>
    <xf numFmtId="169" fontId="8" fillId="0" borderId="0" xfId="1" applyNumberFormat="1" applyFont="1" applyAlignment="1">
      <alignment horizontal="center"/>
    </xf>
    <xf numFmtId="169" fontId="7" fillId="0" borderId="0" xfId="1" applyNumberFormat="1" applyFont="1"/>
    <xf numFmtId="0" fontId="7" fillId="0" borderId="0" xfId="3" applyFont="1"/>
    <xf numFmtId="0" fontId="10" fillId="0" borderId="0" xfId="3"/>
    <xf numFmtId="0" fontId="10" fillId="0" borderId="0" xfId="3" applyAlignment="1">
      <alignment horizontal="right"/>
    </xf>
    <xf numFmtId="10" fontId="0" fillId="0" borderId="0" xfId="4" applyNumberFormat="1" applyFont="1"/>
    <xf numFmtId="0" fontId="8" fillId="0" borderId="0" xfId="3" applyFont="1" applyAlignment="1">
      <alignment horizontal="center"/>
    </xf>
    <xf numFmtId="3" fontId="10" fillId="0" borderId="0" xfId="3" applyNumberFormat="1"/>
    <xf numFmtId="4" fontId="10" fillId="0" borderId="0" xfId="3" applyNumberFormat="1"/>
    <xf numFmtId="0" fontId="8" fillId="0" borderId="0" xfId="3" applyFont="1"/>
    <xf numFmtId="3" fontId="11" fillId="0" borderId="0" xfId="3" applyNumberFormat="1" applyFont="1"/>
    <xf numFmtId="0" fontId="11" fillId="0" borderId="0" xfId="3" applyFont="1"/>
    <xf numFmtId="0" fontId="16" fillId="0" borderId="0" xfId="1" applyFont="1"/>
    <xf numFmtId="3" fontId="5" fillId="0" borderId="0" xfId="1" applyNumberFormat="1"/>
    <xf numFmtId="167" fontId="0" fillId="0" borderId="0" xfId="2" applyNumberFormat="1" applyFont="1"/>
    <xf numFmtId="9" fontId="16" fillId="0" borderId="0" xfId="1" applyNumberFormat="1" applyFont="1" applyAlignment="1">
      <alignment horizontal="center"/>
    </xf>
    <xf numFmtId="167" fontId="0" fillId="0" borderId="0" xfId="2" applyNumberFormat="1" applyFont="1" applyAlignment="1">
      <alignment horizontal="right"/>
    </xf>
    <xf numFmtId="167" fontId="11" fillId="0" borderId="0" xfId="2" applyNumberFormat="1" applyFont="1" applyAlignment="1">
      <alignment horizontal="right"/>
    </xf>
    <xf numFmtId="164" fontId="0" fillId="0" borderId="0" xfId="2" applyFont="1"/>
    <xf numFmtId="4" fontId="7" fillId="0" borderId="0" xfId="1" applyNumberFormat="1" applyFont="1"/>
    <xf numFmtId="3" fontId="7" fillId="0" borderId="0" xfId="1" applyNumberFormat="1" applyFont="1"/>
    <xf numFmtId="166" fontId="7" fillId="0" borderId="0" xfId="1" applyNumberFormat="1" applyFont="1"/>
    <xf numFmtId="10" fontId="7" fillId="0" borderId="0" xfId="1" applyNumberFormat="1" applyFont="1"/>
    <xf numFmtId="167" fontId="10" fillId="0" borderId="0" xfId="2" applyNumberFormat="1" applyFont="1" applyFill="1"/>
    <xf numFmtId="170" fontId="7" fillId="0" borderId="0" xfId="1" applyNumberFormat="1" applyFont="1"/>
    <xf numFmtId="3" fontId="8" fillId="0" borderId="0" xfId="1" applyNumberFormat="1" applyFont="1"/>
    <xf numFmtId="37" fontId="10" fillId="0" borderId="0" xfId="2" applyNumberFormat="1" applyFont="1" applyAlignment="1">
      <alignment horizontal="right"/>
    </xf>
    <xf numFmtId="4" fontId="5" fillId="0" borderId="0" xfId="5" applyNumberFormat="1"/>
    <xf numFmtId="171" fontId="5" fillId="0" borderId="0" xfId="5"/>
    <xf numFmtId="3" fontId="5" fillId="0" borderId="0" xfId="5" applyNumberFormat="1"/>
    <xf numFmtId="10" fontId="5" fillId="0" borderId="0" xfId="5" applyNumberFormat="1"/>
    <xf numFmtId="171" fontId="16" fillId="0" borderId="0" xfId="5" applyFont="1"/>
    <xf numFmtId="15" fontId="0" fillId="0" borderId="0" xfId="0" applyNumberFormat="1"/>
    <xf numFmtId="172" fontId="5" fillId="0" borderId="0" xfId="5" applyNumberFormat="1"/>
    <xf numFmtId="166" fontId="0" fillId="0" borderId="0" xfId="4" applyNumberFormat="1" applyFont="1"/>
    <xf numFmtId="3" fontId="5" fillId="0" borderId="0" xfId="1" applyNumberFormat="1" applyAlignment="1">
      <alignment horizontal="center"/>
    </xf>
    <xf numFmtId="9" fontId="16" fillId="0" borderId="0" xfId="1" applyNumberFormat="1" applyFont="1"/>
    <xf numFmtId="166" fontId="16" fillId="0" borderId="0" xfId="1" applyNumberFormat="1" applyFont="1"/>
    <xf numFmtId="10" fontId="16" fillId="0" borderId="0" xfId="1" applyNumberFormat="1" applyFont="1"/>
    <xf numFmtId="3" fontId="16" fillId="0" borderId="0" xfId="1" applyNumberFormat="1" applyFont="1"/>
    <xf numFmtId="4" fontId="11" fillId="0" borderId="0" xfId="3" applyNumberFormat="1" applyFont="1"/>
    <xf numFmtId="0" fontId="21" fillId="0" borderId="0" xfId="6" applyFont="1"/>
    <xf numFmtId="0" fontId="11" fillId="0" borderId="0" xfId="0" applyFont="1"/>
    <xf numFmtId="10" fontId="0" fillId="3" borderId="0" xfId="0" applyNumberFormat="1" applyFill="1"/>
    <xf numFmtId="2" fontId="7" fillId="0" borderId="0" xfId="3" applyNumberFormat="1" applyFont="1"/>
    <xf numFmtId="0" fontId="10" fillId="2" borderId="0" xfId="3" applyFill="1"/>
    <xf numFmtId="10" fontId="0" fillId="2" borderId="0" xfId="4" applyNumberFormat="1" applyFont="1" applyFill="1"/>
    <xf numFmtId="1" fontId="0" fillId="0" borderId="0" xfId="0" applyNumberFormat="1"/>
    <xf numFmtId="10" fontId="0" fillId="0" borderId="0" xfId="7" applyNumberFormat="1" applyFont="1"/>
    <xf numFmtId="10" fontId="1" fillId="0" borderId="0" xfId="7" applyNumberFormat="1" applyFont="1"/>
    <xf numFmtId="10" fontId="1" fillId="0" borderId="0" xfId="0" applyNumberFormat="1" applyFont="1"/>
    <xf numFmtId="10" fontId="16" fillId="0" borderId="0" xfId="5" applyNumberFormat="1" applyFont="1"/>
    <xf numFmtId="171" fontId="16" fillId="2" borderId="0" xfId="5" applyFont="1" applyFill="1"/>
    <xf numFmtId="10" fontId="16" fillId="2" borderId="0" xfId="4" applyNumberFormat="1" applyFont="1" applyFill="1"/>
    <xf numFmtId="0" fontId="19" fillId="0" borderId="0" xfId="6"/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20" fillId="0" borderId="0" xfId="0" applyFont="1" applyAlignment="1">
      <alignment horizontal="center"/>
    </xf>
    <xf numFmtId="0" fontId="6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6" fillId="0" borderId="1" xfId="1" applyFont="1" applyBorder="1" applyAlignment="1">
      <alignment horizontal="center"/>
    </xf>
    <xf numFmtId="0" fontId="16" fillId="0" borderId="2" xfId="1" applyFont="1" applyBorder="1" applyAlignment="1">
      <alignment horizontal="center"/>
    </xf>
    <xf numFmtId="0" fontId="16" fillId="0" borderId="3" xfId="1" applyFont="1" applyBorder="1" applyAlignment="1">
      <alignment horizontal="center"/>
    </xf>
    <xf numFmtId="0" fontId="5" fillId="0" borderId="4" xfId="1" applyBorder="1" applyAlignment="1">
      <alignment horizontal="center" wrapText="1"/>
    </xf>
    <xf numFmtId="0" fontId="5" fillId="0" borderId="5" xfId="1" applyBorder="1" applyAlignment="1">
      <alignment horizontal="center" wrapText="1"/>
    </xf>
    <xf numFmtId="0" fontId="5" fillId="0" borderId="6" xfId="1" applyBorder="1" applyAlignment="1">
      <alignment horizontal="center" wrapText="1"/>
    </xf>
    <xf numFmtId="0" fontId="5" fillId="0" borderId="7" xfId="1" applyBorder="1" applyAlignment="1">
      <alignment horizontal="center" wrapText="1"/>
    </xf>
    <xf numFmtId="171" fontId="6" fillId="0" borderId="0" xfId="5" applyFont="1" applyAlignment="1">
      <alignment horizontal="center"/>
    </xf>
    <xf numFmtId="0" fontId="6" fillId="0" borderId="0" xfId="3" applyFont="1" applyAlignment="1">
      <alignment horizontal="center" vertical="center" wrapText="1"/>
    </xf>
  </cellXfs>
  <cellStyles count="8">
    <cellStyle name="Comma 2" xfId="2" xr:uid="{D15EF485-DD52-4A04-8FB6-5F5031B54629}"/>
    <cellStyle name="Hyperlink" xfId="6" builtinId="8"/>
    <cellStyle name="Normal" xfId="0" builtinId="0"/>
    <cellStyle name="Normal 2" xfId="3" xr:uid="{2CC41568-FE36-45FA-AECD-59C36D892DFE}"/>
    <cellStyle name="Normal 5" xfId="1" xr:uid="{553368AB-8E82-4DBA-9DDE-1DA00E683810}"/>
    <cellStyle name="Normal_Tyson" xfId="5" xr:uid="{B75735FD-F2BF-4A9D-A743-CE3E0A280CAC}"/>
    <cellStyle name="Percent" xfId="7" builtinId="5"/>
    <cellStyle name="Percent 2" xfId="4" xr:uid="{5CA66D41-3517-435E-8C6F-8A3AA901F1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LLY's Revenues by</a:t>
            </a:r>
            <a:r>
              <a:rPr lang="en-US" sz="1600" baseline="0"/>
              <a:t> Year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'YoY sales growth'!$B$2</c:f>
              <c:strCache>
                <c:ptCount val="1"/>
                <c:pt idx="0">
                  <c:v>Revenue ($M)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'YoY sales growth'!$A$3:$A$12</c:f>
              <c:numCache>
                <c:formatCode>General</c:formatCode>
                <c:ptCount val="10"/>
                <c:pt idx="0">
                  <c:v>2022</c:v>
                </c:pt>
                <c:pt idx="1">
                  <c:v>2021</c:v>
                </c:pt>
                <c:pt idx="2">
                  <c:v>2020</c:v>
                </c:pt>
                <c:pt idx="3">
                  <c:v>2019</c:v>
                </c:pt>
                <c:pt idx="4">
                  <c:v>2018</c:v>
                </c:pt>
                <c:pt idx="5">
                  <c:v>2017</c:v>
                </c:pt>
                <c:pt idx="6">
                  <c:v>2016</c:v>
                </c:pt>
                <c:pt idx="7">
                  <c:v>2015</c:v>
                </c:pt>
                <c:pt idx="8">
                  <c:v>2014</c:v>
                </c:pt>
                <c:pt idx="9">
                  <c:v>2013</c:v>
                </c:pt>
              </c:numCache>
            </c:numRef>
          </c:xVal>
          <c:yVal>
            <c:numRef>
              <c:f>'YoY sales growth'!$B$3:$B$12</c:f>
              <c:numCache>
                <c:formatCode>#,##0,,</c:formatCode>
                <c:ptCount val="10"/>
                <c:pt idx="0">
                  <c:v>28541000000</c:v>
                </c:pt>
                <c:pt idx="1">
                  <c:v>28318000000</c:v>
                </c:pt>
                <c:pt idx="2">
                  <c:v>24540000000</c:v>
                </c:pt>
                <c:pt idx="3">
                  <c:v>22320000000</c:v>
                </c:pt>
                <c:pt idx="4">
                  <c:v>21493000000</c:v>
                </c:pt>
                <c:pt idx="5">
                  <c:v>19974000000</c:v>
                </c:pt>
                <c:pt idx="6">
                  <c:v>21222000000</c:v>
                </c:pt>
                <c:pt idx="7">
                  <c:v>19959000000</c:v>
                </c:pt>
                <c:pt idx="8">
                  <c:v>19616000000</c:v>
                </c:pt>
                <c:pt idx="9">
                  <c:v>23113000000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E3-4142-8A31-CB2C7C16F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708015"/>
        <c:axId val="1903794623"/>
      </c:scatterChart>
      <c:valAx>
        <c:axId val="1464708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794623"/>
        <c:crosses val="autoZero"/>
        <c:crossBetween val="midCat"/>
      </c:valAx>
      <c:valAx>
        <c:axId val="190379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,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708015"/>
        <c:crosses val="autoZero"/>
        <c:crossBetween val="midCat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/>
                    <a:t>$ billions 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Total Costs Excluding Depreciation</a:t>
            </a:r>
            <a:r>
              <a:rPr lang="en-US" sz="1100" baseline="0"/>
              <a:t> vs. Sales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'Operating costs analysis'!$A$9</c:f>
              <c:strCache>
                <c:ptCount val="1"/>
                <c:pt idx="0">
                  <c:v>Total costs excluding depreciation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6.6892324362308672E-2"/>
                  <c:y val="-0.13124092624516609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'Operating costs analysis'!$B$3:$E$3</c:f>
              <c:numCache>
                <c:formatCode>#,##0</c:formatCode>
                <c:ptCount val="4"/>
                <c:pt idx="0">
                  <c:v>22319.5</c:v>
                </c:pt>
                <c:pt idx="1">
                  <c:v>24539.8</c:v>
                </c:pt>
                <c:pt idx="2">
                  <c:v>28318.400000000001</c:v>
                </c:pt>
                <c:pt idx="3">
                  <c:v>28541.4</c:v>
                </c:pt>
              </c:numCache>
            </c:numRef>
          </c:xVal>
          <c:yVal>
            <c:numRef>
              <c:f>'Operating costs analysis'!$B$9:$E$9</c:f>
              <c:numCache>
                <c:formatCode>#,##0</c:formatCode>
                <c:ptCount val="4"/>
                <c:pt idx="0">
                  <c:v>15500.800000000001</c:v>
                </c:pt>
                <c:pt idx="1">
                  <c:v>15659.400000000003</c:v>
                </c:pt>
                <c:pt idx="2">
                  <c:v>20300.900000000001</c:v>
                </c:pt>
                <c:pt idx="3">
                  <c:v>19943.7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67-4D8C-8CF7-B90901239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548480"/>
        <c:axId val="1541190816"/>
      </c:scatterChart>
      <c:valAx>
        <c:axId val="845548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190816"/>
        <c:crosses val="autoZero"/>
        <c:crossBetween val="midCat"/>
      </c:valAx>
      <c:valAx>
        <c:axId val="154119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54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Costs Excluding Depreciation % of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'Operating costs analysis'!$A$10</c:f>
              <c:strCache>
                <c:ptCount val="1"/>
                <c:pt idx="0">
                  <c:v>Costs excluding depreciation %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'Operating costs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'Operating costs analysis'!$B$10:$E$10</c:f>
              <c:numCache>
                <c:formatCode>0.0%</c:formatCode>
                <c:ptCount val="4"/>
                <c:pt idx="0">
                  <c:v>0.6944958444409598</c:v>
                </c:pt>
                <c:pt idx="1">
                  <c:v>0.63812256008606438</c:v>
                </c:pt>
                <c:pt idx="2">
                  <c:v>0.71688019097124134</c:v>
                </c:pt>
                <c:pt idx="3">
                  <c:v>0.69876390085980367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05-4772-A595-047942F14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7025488"/>
        <c:axId val="1731820608"/>
      </c:barChart>
      <c:catAx>
        <c:axId val="153702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820608"/>
        <c:crosses val="autoZero"/>
        <c:auto val="1"/>
        <c:lblAlgn val="ctr"/>
        <c:lblOffset val="100"/>
        <c:noMultiLvlLbl val="0"/>
      </c:catAx>
      <c:valAx>
        <c:axId val="173182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02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LLY FIXED ASSET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'Fixed asset analysis'!$A$9</c:f>
              <c:strCache>
                <c:ptCount val="1"/>
                <c:pt idx="0">
                  <c:v>Gross fixed asset/sales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'Fixed asset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'Fixed asset analysis'!$B$9:$E$9</c:f>
              <c:numCache>
                <c:formatCode>0.0%</c:formatCode>
                <c:ptCount val="4"/>
                <c:pt idx="0">
                  <c:v>0.76321154147718362</c:v>
                </c:pt>
                <c:pt idx="1">
                  <c:v>0.7437957929567478</c:v>
                </c:pt>
                <c:pt idx="2">
                  <c:v>0.66959291485394645</c:v>
                </c:pt>
                <c:pt idx="3">
                  <c:v>0.71395937129923548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A2-4A09-BB43-BCF784247AF1}"/>
            </c:ext>
          </c:extLst>
        </c:ser>
        <c:ser>
          <c:idx val="1"/>
          <c:order val="1"/>
          <c:tx>
            <c:strRef>
              <c:f>'Fixed asset analysis'!$A$10</c:f>
              <c:strCache>
                <c:ptCount val="1"/>
                <c:pt idx="0">
                  <c:v>Net fixed asset/sales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'Fixed asset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'Fixed asset analysis'!$B$10:$E$10</c:f>
              <c:numCache>
                <c:formatCode>0.0%</c:formatCode>
                <c:ptCount val="4"/>
                <c:pt idx="0">
                  <c:v>0.3527363964246511</c:v>
                </c:pt>
                <c:pt idx="1">
                  <c:v>0.35378853943389915</c:v>
                </c:pt>
                <c:pt idx="2">
                  <c:v>0.31728840612463977</c:v>
                </c:pt>
                <c:pt idx="3">
                  <c:v>0.35541353963015132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A2-4A09-BB43-BCF784247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282608"/>
        <c:axId val="13561312"/>
      </c:lineChart>
      <c:catAx>
        <c:axId val="197428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61312"/>
        <c:crosses val="autoZero"/>
        <c:auto val="1"/>
        <c:lblAlgn val="ctr"/>
        <c:lblOffset val="100"/>
        <c:noMultiLvlLbl val="0"/>
      </c:catAx>
      <c:valAx>
        <c:axId val="1356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28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LLY WORKING CAPITAL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'NWC analysis'!$A$10</c:f>
              <c:strCache>
                <c:ptCount val="1"/>
                <c:pt idx="0">
                  <c:v>Current oper. assets % of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'NWC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'NWC analysis'!$B$10:$E$10</c:f>
              <c:numCache>
                <c:formatCode>0.00%</c:formatCode>
                <c:ptCount val="4"/>
                <c:pt idx="0">
                  <c:v>0.5049889110419139</c:v>
                </c:pt>
                <c:pt idx="1">
                  <c:v>0.56156936894351228</c:v>
                </c:pt>
                <c:pt idx="2">
                  <c:v>0.51341177467653543</c:v>
                </c:pt>
                <c:pt idx="3">
                  <c:v>0.54630116252181038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67-46E8-93DF-8EFDAC0B5836}"/>
            </c:ext>
          </c:extLst>
        </c:ser>
        <c:ser>
          <c:idx val="1"/>
          <c:order val="1"/>
          <c:tx>
            <c:strRef>
              <c:f>'NWC analysis'!$A$16</c:f>
              <c:strCache>
                <c:ptCount val="1"/>
                <c:pt idx="0">
                  <c:v>Current oper. liabilities % of 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'NWC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'NWC analysis'!$B$16:$E$16</c:f>
              <c:numCache>
                <c:formatCode>0.00%</c:formatCode>
                <c:ptCount val="4"/>
                <c:pt idx="0">
                  <c:v>7.0158381684177512E-2</c:v>
                </c:pt>
                <c:pt idx="1">
                  <c:v>8.5648619793152359E-2</c:v>
                </c:pt>
                <c:pt idx="2">
                  <c:v>6.3474631335103671E-2</c:v>
                </c:pt>
                <c:pt idx="3">
                  <c:v>8.4288086779204935E-2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67-46E8-93DF-8EFDAC0B5836}"/>
            </c:ext>
          </c:extLst>
        </c:ser>
        <c:ser>
          <c:idx val="2"/>
          <c:order val="2"/>
          <c:tx>
            <c:strRef>
              <c:f>'NWC analysis'!$A$19</c:f>
              <c:strCache>
                <c:ptCount val="1"/>
                <c:pt idx="0">
                  <c:v>NWC % of sales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'NWC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'NWC analysis'!$B$19:$E$19</c:f>
              <c:numCache>
                <c:formatCode>0.00%</c:formatCode>
                <c:ptCount val="4"/>
                <c:pt idx="0">
                  <c:v>0.43483052935773647</c:v>
                </c:pt>
                <c:pt idx="1">
                  <c:v>0.47592074915035981</c:v>
                </c:pt>
                <c:pt idx="2">
                  <c:v>0.4499371433414317</c:v>
                </c:pt>
                <c:pt idx="3">
                  <c:v>0.46201307574260547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67-46E8-93DF-8EFDAC0B5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240544"/>
        <c:axId val="1377733824"/>
      </c:lineChart>
      <c:catAx>
        <c:axId val="19724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733824"/>
        <c:crosses val="autoZero"/>
        <c:auto val="1"/>
        <c:lblAlgn val="ctr"/>
        <c:lblOffset val="100"/>
        <c:noMultiLvlLbl val="0"/>
      </c:catAx>
      <c:valAx>
        <c:axId val="137773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4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LLY DEPRECIATION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'Depreciation analysis'!$A$12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'Depreciation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'Depreciation analysis'!$B$12:$E$12</c:f>
              <c:numCache>
                <c:formatCode>#,##0</c:formatCode>
                <c:ptCount val="4"/>
                <c:pt idx="0">
                  <c:v>22319.5</c:v>
                </c:pt>
                <c:pt idx="1">
                  <c:v>24539.8</c:v>
                </c:pt>
                <c:pt idx="2">
                  <c:v>28318.400000000001</c:v>
                </c:pt>
                <c:pt idx="3">
                  <c:v>28541.4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59-4E71-A752-31066A123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994704"/>
        <c:axId val="126434208"/>
      </c:barChart>
      <c:lineChart>
        <c:grouping val="standard"/>
        <c:varyColors val="0"/>
        <c:ser>
          <c:idx val="1"/>
          <c:order val="1"/>
          <c:tx>
            <c:strRef>
              <c:f>'Depreciation analysis'!$A$13</c:f>
              <c:strCache>
                <c:ptCount val="1"/>
                <c:pt idx="0">
                  <c:v>Accumulated Depreciaion as a % of 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'Depreciation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'Depreciation analysis'!$B$13:$E$13</c:f>
              <c:numCache>
                <c:formatCode>0.00%</c:formatCode>
                <c:ptCount val="4"/>
                <c:pt idx="0">
                  <c:v>0.41047514505253258</c:v>
                </c:pt>
                <c:pt idx="1">
                  <c:v>0.39000725352284865</c:v>
                </c:pt>
                <c:pt idx="2">
                  <c:v>0.35230450872930674</c:v>
                </c:pt>
                <c:pt idx="3">
                  <c:v>0.35854583166908416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59-4E71-A752-31066A123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196144"/>
        <c:axId val="126432224"/>
      </c:lineChart>
      <c:catAx>
        <c:axId val="186199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34208"/>
        <c:crosses val="autoZero"/>
        <c:auto val="1"/>
        <c:lblAlgn val="ctr"/>
        <c:lblOffset val="100"/>
        <c:noMultiLvlLbl val="0"/>
      </c:catAx>
      <c:valAx>
        <c:axId val="12643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1994704"/>
        <c:crosses val="autoZero"/>
        <c:crossBetween val="between"/>
      </c:valAx>
      <c:valAx>
        <c:axId val="126432224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196144"/>
        <c:crosses val="max"/>
        <c:crossBetween val="between"/>
      </c:valAx>
      <c:catAx>
        <c:axId val="201196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6432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LLY DIVIDEND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'Dividend analysis'!$A$3</c:f>
              <c:strCache>
                <c:ptCount val="1"/>
                <c:pt idx="0">
                  <c:v>Net income attributable to Eli Lilly &amp; Co. shareholders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'Dividend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'Dividend analysis'!$B$3:$E$3</c:f>
              <c:numCache>
                <c:formatCode>#,##0</c:formatCode>
                <c:ptCount val="4"/>
                <c:pt idx="0">
                  <c:v>4637.8999999999996</c:v>
                </c:pt>
                <c:pt idx="1">
                  <c:v>6193.699999999998</c:v>
                </c:pt>
                <c:pt idx="2">
                  <c:v>5581.7000000000053</c:v>
                </c:pt>
                <c:pt idx="3">
                  <c:v>6244.8000000000011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D9-49A1-B52C-17B331A54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913856"/>
        <c:axId val="1975358624"/>
      </c:barChart>
      <c:lineChart>
        <c:grouping val="standard"/>
        <c:varyColors val="0"/>
        <c:ser>
          <c:idx val="1"/>
          <c:order val="1"/>
          <c:tx>
            <c:strRef>
              <c:f>'Dividend analysis'!$A$9</c:f>
              <c:strCache>
                <c:ptCount val="1"/>
                <c:pt idx="0">
                  <c:v>Dividends as a % of NI to shareholders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'Dividend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'Dividend analysis'!$B$9:$E$9</c:f>
              <c:numCache>
                <c:formatCode>0.00%</c:formatCode>
                <c:ptCount val="4"/>
                <c:pt idx="0">
                  <c:v>0.51958860691261144</c:v>
                </c:pt>
                <c:pt idx="1">
                  <c:v>0.4338440673587679</c:v>
                </c:pt>
                <c:pt idx="2">
                  <c:v>0.55302148091083314</c:v>
                </c:pt>
                <c:pt idx="3">
                  <c:v>0.56619907763259025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D9-49A1-B52C-17B331A54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12896"/>
        <c:axId val="1975354160"/>
      </c:lineChart>
      <c:catAx>
        <c:axId val="134091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358624"/>
        <c:crosses val="autoZero"/>
        <c:auto val="1"/>
        <c:lblAlgn val="ctr"/>
        <c:lblOffset val="100"/>
        <c:noMultiLvlLbl val="0"/>
      </c:catAx>
      <c:valAx>
        <c:axId val="19753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913856"/>
        <c:crosses val="autoZero"/>
        <c:crossBetween val="between"/>
      </c:valAx>
      <c:valAx>
        <c:axId val="197535416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912896"/>
        <c:crosses val="max"/>
        <c:crossBetween val="between"/>
      </c:valAx>
      <c:catAx>
        <c:axId val="13409128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75354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>
                <a:effectLst/>
              </a:rPr>
              <a:t>LLY FINANCIAL LIABILITIES ANALYSIS</a:t>
            </a:r>
            <a:r>
              <a:rPr lang="en-IN" sz="1400" b="0" i="0" u="none" strike="noStrike" baseline="0"/>
              <a:t>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'Liabilities analysis'!$A$12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'Liabilities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'Liabilities analysis'!$B$12:$E$12</c:f>
              <c:numCache>
                <c:formatCode>#,##0</c:formatCode>
                <c:ptCount val="4"/>
                <c:pt idx="0">
                  <c:v>22319.5</c:v>
                </c:pt>
                <c:pt idx="1">
                  <c:v>24539.8</c:v>
                </c:pt>
                <c:pt idx="2">
                  <c:v>28318.400000000001</c:v>
                </c:pt>
                <c:pt idx="3">
                  <c:v>28541.4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F6-4168-8FE5-DCB0071C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7963488"/>
        <c:axId val="16216128"/>
      </c:barChart>
      <c:lineChart>
        <c:grouping val="standard"/>
        <c:varyColors val="0"/>
        <c:ser>
          <c:idx val="1"/>
          <c:order val="1"/>
          <c:tx>
            <c:strRef>
              <c:f>'Liabilities analysis'!$A$13</c:f>
              <c:strCache>
                <c:ptCount val="1"/>
                <c:pt idx="0">
                  <c:v>Total financial liabilities/Sales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'Liabilities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'Liabilities analysis'!$B$13:$E$13</c:f>
              <c:numCache>
                <c:formatCode>0.00%</c:formatCode>
                <c:ptCount val="4"/>
                <c:pt idx="0">
                  <c:v>1.506265821366966</c:v>
                </c:pt>
                <c:pt idx="1">
                  <c:v>1.5847602669948411</c:v>
                </c:pt>
                <c:pt idx="2">
                  <c:v>1.3429183852195037</c:v>
                </c:pt>
                <c:pt idx="3">
                  <c:v>1.2765421457952308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F6-4168-8FE5-DCB0071C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7960608"/>
        <c:axId val="16219600"/>
      </c:lineChart>
      <c:catAx>
        <c:axId val="178796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6128"/>
        <c:crosses val="autoZero"/>
        <c:auto val="1"/>
        <c:lblAlgn val="ctr"/>
        <c:lblOffset val="100"/>
        <c:noMultiLvlLbl val="0"/>
      </c:catAx>
      <c:valAx>
        <c:axId val="1621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963488"/>
        <c:crosses val="autoZero"/>
        <c:crossBetween val="between"/>
      </c:valAx>
      <c:valAx>
        <c:axId val="1621960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960608"/>
        <c:crosses val="max"/>
        <c:crossBetween val="between"/>
      </c:valAx>
      <c:catAx>
        <c:axId val="17879606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219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LLY INTEREST RATE ON DEBT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'Interest Rate on Debt Analysis'!$A$4</c:f>
              <c:strCache>
                <c:ptCount val="1"/>
                <c:pt idx="0">
                  <c:v>Total Debt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'Interest Rate on Debt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'Interest Rate on Debt Analysis'!$B$4:$E$4</c:f>
              <c:numCache>
                <c:formatCode>0</c:formatCode>
                <c:ptCount val="4"/>
                <c:pt idx="0">
                  <c:v>15364.400000000001</c:v>
                </c:pt>
                <c:pt idx="1">
                  <c:v>16885.8</c:v>
                </c:pt>
                <c:pt idx="2">
                  <c:v>16926.5</c:v>
                </c:pt>
                <c:pt idx="3">
                  <c:v>17139.399999999998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D1-478A-95C9-3658F3D84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7961568"/>
        <c:axId val="1780734304"/>
      </c:barChart>
      <c:lineChart>
        <c:grouping val="standard"/>
        <c:varyColors val="0"/>
        <c:ser>
          <c:idx val="1"/>
          <c:order val="1"/>
          <c:tx>
            <c:strRef>
              <c:f>'Interest Rate on Debt Analysis'!$A$5</c:f>
              <c:strCache>
                <c:ptCount val="1"/>
                <c:pt idx="0">
                  <c:v>Effective Interest Rate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'Interest Rate on Debt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'Interest Rate on Debt Analysis'!$B$5:$E$5</c:f>
              <c:numCache>
                <c:formatCode>0.00%</c:formatCode>
                <c:ptCount val="4"/>
                <c:pt idx="0">
                  <c:v>2.6073260263986878E-2</c:v>
                </c:pt>
                <c:pt idx="1">
                  <c:v>2.1296000189508345E-2</c:v>
                </c:pt>
                <c:pt idx="2">
                  <c:v>2.0075030277966505E-2</c:v>
                </c:pt>
                <c:pt idx="3">
                  <c:v>1.9347235025730193E-2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D1-478A-95C9-3658F3D84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7962528"/>
        <c:axId val="1780731824"/>
      </c:lineChart>
      <c:catAx>
        <c:axId val="178796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0734304"/>
        <c:crosses val="autoZero"/>
        <c:auto val="1"/>
        <c:lblAlgn val="ctr"/>
        <c:lblOffset val="100"/>
        <c:noMultiLvlLbl val="0"/>
      </c:catAx>
      <c:valAx>
        <c:axId val="178073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961568"/>
        <c:crosses val="autoZero"/>
        <c:crossBetween val="between"/>
      </c:valAx>
      <c:valAx>
        <c:axId val="1780731824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962528"/>
        <c:crosses val="max"/>
        <c:crossBetween val="between"/>
      </c:valAx>
      <c:catAx>
        <c:axId val="1787962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80731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90487</xdr:colOff>
      <xdr:row>4</xdr:row>
      <xdr:rowOff>60325</xdr:rowOff>
    </xdr:from>
    <xdr:to>
      <xdr:col>9</xdr:col>
      <xdr:colOff>590550</xdr:colOff>
      <xdr:row>18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412A78-94E3-4997-BCF2-54E6193110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</xdr:colOff>
      <xdr:row>13</xdr:row>
      <xdr:rowOff>41276</xdr:rowOff>
    </xdr:from>
    <xdr:to>
      <xdr:col>3</xdr:col>
      <xdr:colOff>1</xdr:colOff>
      <xdr:row>27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DCE8D3-1051-4F17-9D5E-2ACCA8A06B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38099</xdr:colOff>
      <xdr:row>13</xdr:row>
      <xdr:rowOff>41275</xdr:rowOff>
    </xdr:from>
    <xdr:to>
      <xdr:col>5</xdr:col>
      <xdr:colOff>2022474</xdr:colOff>
      <xdr:row>27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CA506C2-B35E-407B-ACD0-6241F1AFD2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53399</xdr:colOff>
      <xdr:row>14</xdr:row>
      <xdr:rowOff>77337</xdr:rowOff>
    </xdr:from>
    <xdr:to>
      <xdr:col>4</xdr:col>
      <xdr:colOff>582951</xdr:colOff>
      <xdr:row>29</xdr:row>
      <xdr:rowOff>117496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FEEE82-EAD4-6659-9B97-9429288D30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75367</xdr:rowOff>
    </xdr:from>
    <xdr:to>
      <xdr:col>5</xdr:col>
      <xdr:colOff>1020164</xdr:colOff>
      <xdr:row>34</xdr:row>
      <xdr:rowOff>7911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FBE12BB-08D6-89A0-1B6B-22BF6C5721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129722</xdr:rowOff>
    </xdr:from>
    <xdr:to>
      <xdr:col>5</xdr:col>
      <xdr:colOff>-1</xdr:colOff>
      <xdr:row>28</xdr:row>
      <xdr:rowOff>151493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95C577-7BD2-1CEE-C8A4-32A51FC251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57150</xdr:rowOff>
    </xdr:from>
    <xdr:to>
      <xdr:col>4</xdr:col>
      <xdr:colOff>480121</xdr:colOff>
      <xdr:row>24</xdr:row>
      <xdr:rowOff>12545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C13C7B-BA98-64A8-527D-A71E4F5C8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60201</xdr:colOff>
      <xdr:row>13</xdr:row>
      <xdr:rowOff>145803</xdr:rowOff>
    </xdr:from>
    <xdr:to>
      <xdr:col>4</xdr:col>
      <xdr:colOff>544286</xdr:colOff>
      <xdr:row>28</xdr:row>
      <xdr:rowOff>90714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8B5181-2A15-4E9A-F24A-101F55DB6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7</xdr:row>
      <xdr:rowOff>95250</xdr:rowOff>
    </xdr:from>
    <xdr:to>
      <xdr:col>4</xdr:col>
      <xdr:colOff>565149</xdr:colOff>
      <xdr:row>22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03947C-7EC2-0B0E-A746-40C4567F97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2187576</xdr:colOff>
      <xdr:row>107</xdr:row>
      <xdr:rowOff>79375</xdr:rowOff>
    </xdr:from>
    <xdr:to>
      <xdr:col>1</xdr:col>
      <xdr:colOff>777875</xdr:colOff>
      <xdr:row>108</xdr:row>
      <xdr:rowOff>120651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84F0D43-8CD3-4287-A248-96A92277DE35}"/>
            </a:ext>
          </a:extLst>
        </xdr:cNvPr>
        <xdr:cNvCxnSpPr/>
      </xdr:nvCxnSpPr>
      <xdr:spPr>
        <a:xfrm flipH="1">
          <a:off x="2187576" y="17411700"/>
          <a:ext cx="1733549" cy="21590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2432050</xdr:colOff>
      <xdr:row>85</xdr:row>
      <xdr:rowOff>9525</xdr:rowOff>
    </xdr:from>
    <xdr:to>
      <xdr:col>1</xdr:col>
      <xdr:colOff>768350</xdr:colOff>
      <xdr:row>86</xdr:row>
      <xdr:rowOff>117475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0855D5C-BC7A-44E5-872D-6CCE6462002E}"/>
            </a:ext>
          </a:extLst>
        </xdr:cNvPr>
        <xdr:cNvCxnSpPr/>
      </xdr:nvCxnSpPr>
      <xdr:spPr>
        <a:xfrm flipH="1">
          <a:off x="2432050" y="14249400"/>
          <a:ext cx="1479550" cy="2825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www.treasury.gov/resource-center/data-chart-center/interest-rates/Pages/default.aspx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3618E-0B3F-48C4-B811-B597D9218349}">
  <sheetPr codeName="Sheet1"/>
  <dimension ref="A1:J19"/>
  <sheetViews>
    <sheetView zoomScale="80" zoomScaleNormal="130" workbookViewId="0">
      <selection activeCell="F3" sqref="F3"/>
    </sheetView>
  </sheetViews>
  <sheetFormatPr defaultRowHeight="14.5" x14ac:dyDescent="0.35"/>
  <cols>
    <col min="1" max="1" width="59.26953125" bestFit="1" customWidth="1"/>
    <col min="6" max="6" width="21.81640625" bestFit="1" customWidth="1"/>
  </cols>
  <sheetData>
    <row r="1" spans="1:10" ht="37.5" customHeight="1" x14ac:dyDescent="0.45">
      <c r="A1" s="89" t="s">
        <v>210</v>
      </c>
      <c r="B1" s="89"/>
      <c r="C1" s="89"/>
      <c r="D1" s="89"/>
      <c r="E1" s="89"/>
    </row>
    <row r="2" spans="1:10" x14ac:dyDescent="0.35">
      <c r="A2" s="9"/>
      <c r="B2" s="9">
        <v>2019</v>
      </c>
      <c r="C2" s="9">
        <v>2020</v>
      </c>
      <c r="D2" s="9">
        <v>2021</v>
      </c>
      <c r="E2" s="9">
        <v>2022</v>
      </c>
    </row>
    <row r="3" spans="1:10" x14ac:dyDescent="0.35">
      <c r="A3" t="s">
        <v>0</v>
      </c>
      <c r="B3" s="2">
        <v>22319.5</v>
      </c>
      <c r="C3" s="2">
        <v>24539.8</v>
      </c>
      <c r="D3" s="2">
        <v>28318.400000000001</v>
      </c>
      <c r="E3" s="2">
        <v>28541.4</v>
      </c>
    </row>
    <row r="4" spans="1:10" x14ac:dyDescent="0.35">
      <c r="A4" s="6" t="s">
        <v>1</v>
      </c>
      <c r="B4" s="2">
        <v>4721.2</v>
      </c>
      <c r="C4" s="2">
        <v>5483.3</v>
      </c>
      <c r="D4" s="2">
        <v>6973.1</v>
      </c>
      <c r="E4" s="2">
        <v>6629.8</v>
      </c>
    </row>
    <row r="5" spans="1:10" x14ac:dyDescent="0.35">
      <c r="A5" s="7" t="s">
        <v>6</v>
      </c>
      <c r="B5" s="5">
        <f>B3-B4</f>
        <v>17598.3</v>
      </c>
      <c r="C5" s="5">
        <f>C3-C4</f>
        <v>19056.5</v>
      </c>
      <c r="D5" s="5">
        <f>D3-D4</f>
        <v>21345.300000000003</v>
      </c>
      <c r="E5" s="5">
        <f>E3-E4</f>
        <v>21911.600000000002</v>
      </c>
    </row>
    <row r="6" spans="1:10" x14ac:dyDescent="0.35">
      <c r="A6" t="s">
        <v>165</v>
      </c>
      <c r="B6" s="2"/>
      <c r="C6" s="2"/>
      <c r="D6" s="2"/>
      <c r="E6" s="2"/>
    </row>
    <row r="7" spans="1:10" x14ac:dyDescent="0.35">
      <c r="A7" s="3" t="s">
        <v>2</v>
      </c>
      <c r="B7" s="2">
        <v>6003.9</v>
      </c>
      <c r="C7" s="2">
        <v>5869.4</v>
      </c>
      <c r="D7" s="2">
        <v>6141.9</v>
      </c>
      <c r="E7" s="2">
        <v>6067.5</v>
      </c>
    </row>
    <row r="8" spans="1:10" x14ac:dyDescent="0.35">
      <c r="A8" s="3" t="s">
        <v>3</v>
      </c>
      <c r="B8" s="2">
        <v>5595</v>
      </c>
      <c r="C8" s="2">
        <v>5976.3</v>
      </c>
      <c r="D8" s="2">
        <v>6930.7</v>
      </c>
      <c r="E8" s="2">
        <v>7190.8</v>
      </c>
    </row>
    <row r="9" spans="1:10" x14ac:dyDescent="0.35">
      <c r="A9" s="3" t="s">
        <v>4</v>
      </c>
      <c r="B9" s="2">
        <f>77.8+400.7</f>
        <v>478.5</v>
      </c>
      <c r="C9" s="2">
        <v>151.19999999999999</v>
      </c>
      <c r="D9" s="2">
        <v>13</v>
      </c>
      <c r="E9" s="2">
        <v>23</v>
      </c>
    </row>
    <row r="10" spans="1:10" x14ac:dyDescent="0.35">
      <c r="A10" s="3" t="s">
        <v>7</v>
      </c>
      <c r="B10" s="2">
        <v>-80.400000000000006</v>
      </c>
      <c r="C10" s="2">
        <v>-33</v>
      </c>
      <c r="D10" s="2">
        <v>-25.4</v>
      </c>
      <c r="E10" s="2">
        <v>-62.8</v>
      </c>
    </row>
    <row r="11" spans="1:10" x14ac:dyDescent="0.35">
      <c r="A11" s="3" t="s">
        <v>8</v>
      </c>
      <c r="B11" s="2">
        <v>400.6</v>
      </c>
      <c r="C11" s="2">
        <v>359.6</v>
      </c>
      <c r="D11" s="2">
        <v>339.8</v>
      </c>
      <c r="E11" s="2">
        <v>331.6</v>
      </c>
      <c r="G11" s="2"/>
      <c r="H11" s="2"/>
      <c r="I11" s="2"/>
      <c r="J11" s="2"/>
    </row>
    <row r="12" spans="1:10" x14ac:dyDescent="0.35">
      <c r="A12" s="3" t="s">
        <v>5</v>
      </c>
      <c r="B12" s="2">
        <f>61.9-5.3-401.2-309.8+239.6+349.6</f>
        <v>-65.199999999999932</v>
      </c>
      <c r="C12" s="2">
        <f>-123.7+319.2-1442.2+769.8-20</f>
        <v>-496.90000000000009</v>
      </c>
      <c r="D12" s="2">
        <f>204.6-256-176.9+970.1+1048</f>
        <v>1789.8</v>
      </c>
      <c r="E12" s="2">
        <f>191.3-177+410.7+908.5+221.6</f>
        <v>1555.1</v>
      </c>
      <c r="G12" s="2"/>
    </row>
    <row r="13" spans="1:10" x14ac:dyDescent="0.35">
      <c r="A13" s="4" t="s">
        <v>166</v>
      </c>
      <c r="B13" s="5">
        <f>SUM(B7:B12)</f>
        <v>12332.4</v>
      </c>
      <c r="C13" s="5">
        <f>SUM(C7:C12)</f>
        <v>11826.600000000002</v>
      </c>
      <c r="D13" s="5">
        <f>SUM(D7:D12)</f>
        <v>15189.799999999997</v>
      </c>
      <c r="E13" s="5">
        <f>SUM(E7:E12)</f>
        <v>15105.2</v>
      </c>
    </row>
    <row r="14" spans="1:10" x14ac:dyDescent="0.35">
      <c r="A14" s="4" t="s">
        <v>167</v>
      </c>
      <c r="B14" s="5">
        <f>B5-B13</f>
        <v>5265.9</v>
      </c>
      <c r="C14" s="5">
        <f>C5-C13</f>
        <v>7229.8999999999978</v>
      </c>
      <c r="D14" s="5">
        <f>D5-D13</f>
        <v>6155.5000000000055</v>
      </c>
      <c r="E14" s="5">
        <f>E5-E13</f>
        <v>6806.4000000000015</v>
      </c>
    </row>
    <row r="15" spans="1:10" x14ac:dyDescent="0.35">
      <c r="A15" t="s">
        <v>168</v>
      </c>
      <c r="B15" s="2">
        <v>628</v>
      </c>
      <c r="C15" s="2">
        <v>1036.2</v>
      </c>
      <c r="D15" s="2">
        <v>573.79999999999995</v>
      </c>
      <c r="E15" s="2">
        <v>561.6</v>
      </c>
    </row>
    <row r="16" spans="1:10" x14ac:dyDescent="0.35">
      <c r="A16" s="4" t="s">
        <v>41</v>
      </c>
      <c r="B16" s="5">
        <f>B14-B15</f>
        <v>4637.8999999999996</v>
      </c>
      <c r="C16" s="5">
        <f>C14-C15</f>
        <v>6193.699999999998</v>
      </c>
      <c r="D16" s="5">
        <f>D14-D15</f>
        <v>5581.7000000000053</v>
      </c>
      <c r="E16" s="5">
        <f>E14-E15</f>
        <v>6244.8000000000011</v>
      </c>
    </row>
    <row r="17" spans="1:5" x14ac:dyDescent="0.35">
      <c r="A17" t="s">
        <v>169</v>
      </c>
      <c r="B17" s="2">
        <v>0</v>
      </c>
      <c r="C17" s="2">
        <v>0</v>
      </c>
      <c r="D17" s="2">
        <v>0</v>
      </c>
      <c r="E17" s="2">
        <v>0</v>
      </c>
    </row>
    <row r="18" spans="1:5" x14ac:dyDescent="0.35">
      <c r="A18" s="4" t="s">
        <v>211</v>
      </c>
      <c r="B18" s="5">
        <f>B16-B17</f>
        <v>4637.8999999999996</v>
      </c>
      <c r="C18" s="5">
        <f t="shared" ref="C18:E18" si="0">C16-C17</f>
        <v>6193.699999999998</v>
      </c>
      <c r="D18" s="5">
        <f t="shared" si="0"/>
        <v>5581.7000000000053</v>
      </c>
      <c r="E18" s="5">
        <f t="shared" si="0"/>
        <v>6244.8000000000011</v>
      </c>
    </row>
    <row r="19" spans="1:5" x14ac:dyDescent="0.35">
      <c r="A19" t="s">
        <v>170</v>
      </c>
      <c r="B19" s="8">
        <v>8.89</v>
      </c>
      <c r="C19" s="8">
        <v>6.79</v>
      </c>
      <c r="D19" s="8">
        <v>6.12</v>
      </c>
      <c r="E19" s="8">
        <v>6.9</v>
      </c>
    </row>
  </sheetData>
  <sortState xmlns:xlrd2="http://schemas.microsoft.com/office/spreadsheetml/2017/richdata2" columnSort="1" ref="B2:E19">
    <sortCondition ref="B2:E2"/>
  </sortState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FE7BC-3D7F-4C0A-B8ED-C40B72AFB45A}">
  <sheetPr codeName="Sheet2"/>
  <dimension ref="A1:M43"/>
  <sheetViews>
    <sheetView zoomScale="64" zoomScaleNormal="115" workbookViewId="0">
      <selection activeCell="I22" sqref="I22"/>
    </sheetView>
  </sheetViews>
  <sheetFormatPr defaultRowHeight="14.5" x14ac:dyDescent="0.35"/>
  <cols>
    <col min="1" max="1" width="46.453125" customWidth="1"/>
    <col min="6" max="6" width="10.54296875" bestFit="1" customWidth="1"/>
    <col min="8" max="8" width="21.6328125" bestFit="1" customWidth="1"/>
    <col min="9" max="9" width="8.54296875" bestFit="1" customWidth="1"/>
    <col min="13" max="13" width="29.453125" bestFit="1" customWidth="1"/>
  </cols>
  <sheetData>
    <row r="1" spans="1:13" ht="35.75" customHeight="1" x14ac:dyDescent="0.45">
      <c r="A1" s="89" t="s">
        <v>213</v>
      </c>
      <c r="B1" s="90"/>
      <c r="C1" s="90"/>
      <c r="D1" s="90"/>
      <c r="E1" s="90"/>
      <c r="H1" s="89" t="s">
        <v>212</v>
      </c>
      <c r="I1" s="89"/>
      <c r="J1" s="89"/>
      <c r="K1" s="89"/>
      <c r="L1" s="89"/>
      <c r="M1" s="89"/>
    </row>
    <row r="2" spans="1:13" s="9" customFormat="1" x14ac:dyDescent="0.35">
      <c r="B2" s="9">
        <v>2019</v>
      </c>
      <c r="C2" s="9">
        <v>2020</v>
      </c>
      <c r="D2" s="9">
        <v>2021</v>
      </c>
      <c r="E2" s="9">
        <v>2022</v>
      </c>
      <c r="I2" s="9">
        <v>2019</v>
      </c>
      <c r="J2" s="9">
        <v>2020</v>
      </c>
      <c r="K2" s="9">
        <v>2021</v>
      </c>
      <c r="L2" s="9">
        <v>2022</v>
      </c>
    </row>
    <row r="3" spans="1:13" x14ac:dyDescent="0.35">
      <c r="A3" s="4" t="s">
        <v>9</v>
      </c>
      <c r="B3" s="9"/>
      <c r="C3" s="9"/>
      <c r="D3" s="9"/>
      <c r="E3" s="9"/>
      <c r="H3" s="4" t="s">
        <v>45</v>
      </c>
    </row>
    <row r="4" spans="1:13" x14ac:dyDescent="0.35">
      <c r="A4" t="s">
        <v>110</v>
      </c>
      <c r="B4" s="9"/>
      <c r="C4" s="9"/>
      <c r="D4" s="9"/>
      <c r="E4" s="9"/>
      <c r="H4" s="3" t="s">
        <v>46</v>
      </c>
      <c r="I4" s="2">
        <f>B14+B11</f>
        <v>9998.7000000000007</v>
      </c>
      <c r="J4" s="2">
        <f>C14+C11</f>
        <v>11880.099999999999</v>
      </c>
      <c r="K4" s="2">
        <f>D14+D11</f>
        <v>12389.699999999999</v>
      </c>
      <c r="L4" s="2">
        <f>E14+E11</f>
        <v>13344.900000000001</v>
      </c>
      <c r="M4" t="str">
        <f t="shared" ref="M4:M9" ca="1" si="0">"&lt;--"&amp;_xlfn.FORMULATEXT(L4)</f>
        <v>&lt;--=E14+E11</v>
      </c>
    </row>
    <row r="5" spans="1:13" x14ac:dyDescent="0.35">
      <c r="A5" s="3" t="s">
        <v>10</v>
      </c>
      <c r="B5" s="2">
        <v>2337.5</v>
      </c>
      <c r="C5" s="2">
        <v>3657.1</v>
      </c>
      <c r="D5" s="2">
        <v>3818.5</v>
      </c>
      <c r="E5" s="2">
        <v>2067</v>
      </c>
      <c r="H5" s="3" t="s">
        <v>47</v>
      </c>
      <c r="I5" s="2">
        <f>B7+B8+B9-B23-B25</f>
        <v>9705.1999999999989</v>
      </c>
      <c r="J5" s="2">
        <f>C7+C8+C9-C23-C25</f>
        <v>11679</v>
      </c>
      <c r="K5" s="2">
        <f>D7+D8+D9-D23-D25</f>
        <v>12741.5</v>
      </c>
      <c r="L5" s="2">
        <f>E7+E8+E9-E23-E25</f>
        <v>13186.5</v>
      </c>
      <c r="M5" t="str">
        <f t="shared" ca="1" si="0"/>
        <v>&lt;--=E7+E8+E9-E23-E25</v>
      </c>
    </row>
    <row r="6" spans="1:13" x14ac:dyDescent="0.35">
      <c r="A6" s="3" t="s">
        <v>11</v>
      </c>
      <c r="B6" s="2">
        <v>101</v>
      </c>
      <c r="C6" s="2">
        <v>24.2</v>
      </c>
      <c r="D6" s="2">
        <f>90.1+4.8</f>
        <v>94.899999999999991</v>
      </c>
      <c r="E6">
        <f>144.8+230.5</f>
        <v>375.3</v>
      </c>
      <c r="H6" s="3" t="s">
        <v>48</v>
      </c>
      <c r="I6" s="2">
        <f>B15+B16</f>
        <v>10297.4</v>
      </c>
      <c r="J6" s="2">
        <f>C15+C16</f>
        <v>11216.5</v>
      </c>
      <c r="K6" s="2">
        <f>D15+D16</f>
        <v>11583.9</v>
      </c>
      <c r="L6" s="2">
        <f>E15+E16</f>
        <v>11279.6</v>
      </c>
      <c r="M6" t="str">
        <f t="shared" ca="1" si="0"/>
        <v>&lt;--=E15+E16</v>
      </c>
    </row>
    <row r="7" spans="1:13" x14ac:dyDescent="0.35">
      <c r="A7" s="3" t="s">
        <v>21</v>
      </c>
      <c r="B7" s="2">
        <v>5523.1</v>
      </c>
      <c r="C7" s="2">
        <v>6887.9</v>
      </c>
      <c r="D7" s="2">
        <v>8112.5</v>
      </c>
      <c r="E7" s="2">
        <v>8301.7999999999993</v>
      </c>
      <c r="H7" s="4" t="s">
        <v>49</v>
      </c>
      <c r="I7" s="5">
        <f>SUM(I4:I6)</f>
        <v>30001.300000000003</v>
      </c>
      <c r="J7" s="5">
        <f>SUM(J4:J6)</f>
        <v>34775.599999999999</v>
      </c>
      <c r="K7" s="5">
        <f>SUM(K4:K6)</f>
        <v>36715.1</v>
      </c>
      <c r="L7" s="5">
        <f>SUM(L4:L6)</f>
        <v>37811</v>
      </c>
      <c r="M7" s="4" t="str">
        <f t="shared" ca="1" si="0"/>
        <v>&lt;--=SUM(L4:L6)</v>
      </c>
    </row>
    <row r="8" spans="1:13" x14ac:dyDescent="0.35">
      <c r="A8" s="10" t="s">
        <v>22</v>
      </c>
      <c r="B8" s="2">
        <v>3190.7</v>
      </c>
      <c r="C8" s="2">
        <v>3980.3</v>
      </c>
      <c r="D8" s="2">
        <v>3886</v>
      </c>
      <c r="E8" s="2">
        <v>4309.7</v>
      </c>
      <c r="H8" t="s">
        <v>50</v>
      </c>
      <c r="I8" s="2">
        <f>B17</f>
        <v>5280.4</v>
      </c>
      <c r="J8" s="2">
        <f>C17</f>
        <v>6074.4</v>
      </c>
      <c r="K8" s="2">
        <f>D17</f>
        <v>6380</v>
      </c>
      <c r="L8" s="2">
        <f>E17</f>
        <v>6830.8</v>
      </c>
      <c r="M8" t="str">
        <f t="shared" ca="1" si="0"/>
        <v>&lt;--=E17</v>
      </c>
    </row>
    <row r="9" spans="1:13" x14ac:dyDescent="0.35">
      <c r="A9" s="3" t="s">
        <v>12</v>
      </c>
      <c r="B9" s="2">
        <f>2538.9+18.4</f>
        <v>2557.3000000000002</v>
      </c>
      <c r="C9" s="2">
        <f>2871.5+41.1</f>
        <v>2912.6</v>
      </c>
      <c r="D9" s="2">
        <f>2530.6+9.9</f>
        <v>2540.5</v>
      </c>
      <c r="E9" s="2">
        <f>2954.1+26.6</f>
        <v>2980.7</v>
      </c>
      <c r="H9" s="4" t="s">
        <v>51</v>
      </c>
      <c r="I9" s="5">
        <f>SUM(I7:I8)</f>
        <v>35281.700000000004</v>
      </c>
      <c r="J9" s="5">
        <f>SUM(J7:J8)</f>
        <v>40850</v>
      </c>
      <c r="K9" s="5">
        <f>SUM(K7:K8)</f>
        <v>43095.1</v>
      </c>
      <c r="L9" s="5">
        <f>SUM(L7:L8)</f>
        <v>44641.8</v>
      </c>
      <c r="M9" s="4" t="str">
        <f t="shared" ca="1" si="0"/>
        <v>&lt;--=SUM(L7:L8)</v>
      </c>
    </row>
    <row r="10" spans="1:13" x14ac:dyDescent="0.35">
      <c r="A10" s="4" t="s">
        <v>13</v>
      </c>
      <c r="B10" s="5">
        <f>SUM(B5:B9)</f>
        <v>13709.599999999999</v>
      </c>
      <c r="C10" s="5">
        <f>SUM(C5:C9)</f>
        <v>17462.099999999999</v>
      </c>
      <c r="D10" s="5">
        <f>SUM(D5:D9)</f>
        <v>18452.400000000001</v>
      </c>
      <c r="E10" s="5">
        <f>SUM(E5:E9)</f>
        <v>18034.5</v>
      </c>
      <c r="I10" s="2"/>
    </row>
    <row r="11" spans="1:13" x14ac:dyDescent="0.35">
      <c r="A11" t="s">
        <v>14</v>
      </c>
      <c r="B11" s="2">
        <v>2125.8000000000002</v>
      </c>
      <c r="C11" s="2">
        <v>3198.2</v>
      </c>
      <c r="D11" s="2">
        <v>3404.6</v>
      </c>
      <c r="E11" s="2">
        <v>3200.9</v>
      </c>
      <c r="H11" s="4" t="s">
        <v>52</v>
      </c>
    </row>
    <row r="12" spans="1:13" x14ac:dyDescent="0.35">
      <c r="A12" s="6" t="s">
        <v>171</v>
      </c>
      <c r="B12" s="2">
        <v>17034.5</v>
      </c>
      <c r="C12" s="2">
        <v>18252.599999999999</v>
      </c>
      <c r="D12" s="2">
        <v>18961.8</v>
      </c>
      <c r="E12" s="2">
        <v>20377.400000000001</v>
      </c>
      <c r="H12" t="s">
        <v>53</v>
      </c>
      <c r="I12" s="2">
        <f>SUM(B22,B24,B26,B28,B29,B30,B40)</f>
        <v>35113.299999999996</v>
      </c>
      <c r="J12" s="2">
        <f>SUM(C22,C24,C26,C28,C29,C30,C40)</f>
        <v>38889.699999999997</v>
      </c>
      <c r="K12" s="2">
        <f>SUM(D22,D24,D26,D28,D29,D30,D40)</f>
        <v>38029.299999999996</v>
      </c>
      <c r="L12" s="2">
        <f>SUM(E22,E24,E26,E28,E29,E30,E40)</f>
        <v>36434.300000000003</v>
      </c>
      <c r="M12" s="2" t="str">
        <f ca="1">"&lt;--"&amp;_xlfn.FORMULATEXT(L12)</f>
        <v>&lt;--=SUM(E22,E24,E26,E28,E29,E30,E40)</v>
      </c>
    </row>
    <row r="13" spans="1:13" x14ac:dyDescent="0.35">
      <c r="A13" t="s">
        <v>172</v>
      </c>
      <c r="B13" s="2">
        <v>9161.6</v>
      </c>
      <c r="C13" s="2">
        <v>9570.7000000000007</v>
      </c>
      <c r="D13" s="2">
        <v>9976.7000000000007</v>
      </c>
      <c r="E13" s="2">
        <v>10233.4</v>
      </c>
      <c r="H13" t="s">
        <v>54</v>
      </c>
      <c r="I13" s="2">
        <f>-(B5+B6)</f>
        <v>-2438.5</v>
      </c>
      <c r="J13" s="2">
        <f>-(C5+C6)</f>
        <v>-3681.2999999999997</v>
      </c>
      <c r="K13" s="2">
        <f>-(D5+D6)</f>
        <v>-3913.4</v>
      </c>
      <c r="L13" s="2">
        <f>-(E5+E6)</f>
        <v>-2442.3000000000002</v>
      </c>
      <c r="M13" s="2" t="str">
        <f ca="1">"&lt;--"&amp;_xlfn.FORMULATEXT(L13)</f>
        <v>&lt;--=-(E5+E6)</v>
      </c>
    </row>
    <row r="14" spans="1:13" s="4" customFormat="1" x14ac:dyDescent="0.35">
      <c r="A14" s="4" t="s">
        <v>23</v>
      </c>
      <c r="B14" s="5">
        <f>B12-B13</f>
        <v>7872.9</v>
      </c>
      <c r="C14" s="5">
        <f>C12-C13</f>
        <v>8681.8999999999978</v>
      </c>
      <c r="D14" s="5">
        <f>D12-D13</f>
        <v>8985.0999999999985</v>
      </c>
      <c r="E14" s="5">
        <f>E12-E13</f>
        <v>10144.000000000002</v>
      </c>
      <c r="H14" s="4" t="s">
        <v>52</v>
      </c>
      <c r="I14" s="5">
        <f>SUM(I12:I13)</f>
        <v>32674.799999999996</v>
      </c>
      <c r="J14" s="5">
        <f>SUM(J12:J13)</f>
        <v>35208.399999999994</v>
      </c>
      <c r="K14" s="5">
        <f>SUM(K12:K13)</f>
        <v>34115.899999999994</v>
      </c>
      <c r="L14" s="5">
        <f>SUM(L12:L13)</f>
        <v>33992</v>
      </c>
      <c r="M14" s="5" t="str">
        <f ca="1">"&lt;--"&amp;_xlfn.FORMULATEXT(L14)</f>
        <v>&lt;--=SUM(L12:L13)</v>
      </c>
    </row>
    <row r="15" spans="1:13" x14ac:dyDescent="0.35">
      <c r="A15" t="s">
        <v>15</v>
      </c>
      <c r="B15" s="2">
        <v>3679.4</v>
      </c>
      <c r="C15" s="2">
        <v>3766.5</v>
      </c>
      <c r="D15" s="2">
        <v>3892</v>
      </c>
      <c r="E15" s="2">
        <v>4073</v>
      </c>
    </row>
    <row r="16" spans="1:13" x14ac:dyDescent="0.35">
      <c r="A16" t="s">
        <v>180</v>
      </c>
      <c r="B16" s="2">
        <v>6618</v>
      </c>
      <c r="C16" s="2">
        <v>7450</v>
      </c>
      <c r="D16" s="2">
        <v>7691.9</v>
      </c>
      <c r="E16" s="2">
        <v>7206.6</v>
      </c>
      <c r="H16" s="4" t="s">
        <v>55</v>
      </c>
      <c r="I16" s="5">
        <f>I9-I14</f>
        <v>2606.9000000000087</v>
      </c>
      <c r="J16" s="5">
        <f>J9-J14</f>
        <v>5641.6000000000058</v>
      </c>
      <c r="K16" s="5">
        <f>K9-K14</f>
        <v>8979.2000000000044</v>
      </c>
      <c r="L16" s="5">
        <f>L9-L14</f>
        <v>10649.800000000003</v>
      </c>
      <c r="M16" s="5" t="str">
        <f ca="1">"&lt;--"&amp;_xlfn.FORMULATEXT(L16)</f>
        <v>&lt;--=L9-L14</v>
      </c>
    </row>
    <row r="17" spans="1:13" x14ac:dyDescent="0.35">
      <c r="A17" t="s">
        <v>145</v>
      </c>
      <c r="B17" s="2">
        <f>2572.6+2707.8</f>
        <v>5280.4</v>
      </c>
      <c r="C17" s="2">
        <f>2830.4+3244</f>
        <v>6074.4</v>
      </c>
      <c r="D17" s="2">
        <f>2489.3+3890.7</f>
        <v>6380</v>
      </c>
      <c r="E17" s="2">
        <f>2792.9+4037.9</f>
        <v>6830.8</v>
      </c>
      <c r="M17" s="5"/>
    </row>
    <row r="18" spans="1:13" x14ac:dyDescent="0.35">
      <c r="A18" s="4" t="s">
        <v>51</v>
      </c>
      <c r="B18" s="5">
        <f>SUM(B10,B11,B14:B17)</f>
        <v>39286.1</v>
      </c>
      <c r="C18" s="5">
        <f>SUM(C10,C11,C14:C17)</f>
        <v>46633.1</v>
      </c>
      <c r="D18" s="5">
        <f>SUM(D10,D11,D14:D17)</f>
        <v>48806</v>
      </c>
      <c r="E18" s="5">
        <f>SUM(E10,E11,E14:E17)</f>
        <v>49489.8</v>
      </c>
    </row>
    <row r="19" spans="1:13" x14ac:dyDescent="0.35">
      <c r="A19" s="4"/>
      <c r="B19" s="5"/>
      <c r="C19" s="5"/>
      <c r="D19" s="5"/>
      <c r="E19" s="5"/>
    </row>
    <row r="20" spans="1:13" x14ac:dyDescent="0.35">
      <c r="A20" s="4" t="s">
        <v>173</v>
      </c>
      <c r="B20" s="2"/>
      <c r="C20" s="2"/>
      <c r="D20" s="2"/>
      <c r="E20" s="2"/>
    </row>
    <row r="21" spans="1:13" x14ac:dyDescent="0.35">
      <c r="A21" s="1" t="s">
        <v>114</v>
      </c>
      <c r="B21" s="2"/>
      <c r="C21" s="2"/>
      <c r="D21" s="2"/>
      <c r="E21" s="2"/>
    </row>
    <row r="22" spans="1:13" ht="29" x14ac:dyDescent="0.35">
      <c r="A22" s="10" t="s">
        <v>24</v>
      </c>
      <c r="B22">
        <f>21.4+5.1</f>
        <v>26.5</v>
      </c>
      <c r="C22">
        <v>101.3</v>
      </c>
      <c r="D22">
        <v>1539.5</v>
      </c>
      <c r="E22">
        <f>1539.4+154.2</f>
        <v>1693.6000000000001</v>
      </c>
    </row>
    <row r="23" spans="1:13" x14ac:dyDescent="0.35">
      <c r="A23" s="10" t="s">
        <v>25</v>
      </c>
      <c r="B23">
        <v>1405.3</v>
      </c>
      <c r="C23">
        <v>1606.7</v>
      </c>
      <c r="D23">
        <v>1670.6</v>
      </c>
      <c r="E23">
        <v>1930.6</v>
      </c>
      <c r="G23" s="81"/>
    </row>
    <row r="24" spans="1:13" x14ac:dyDescent="0.35">
      <c r="A24" s="10" t="s">
        <v>26</v>
      </c>
      <c r="B24">
        <f>5921.7+2766.9</f>
        <v>8688.6</v>
      </c>
      <c r="C24">
        <f>6925.5+3353</f>
        <v>10278.5</v>
      </c>
      <c r="D24">
        <f>7880.1+3835.6</f>
        <v>11715.7</v>
      </c>
      <c r="E24">
        <f>9922.7+3116.2</f>
        <v>13038.900000000001</v>
      </c>
    </row>
    <row r="25" spans="1:13" x14ac:dyDescent="0.35">
      <c r="A25" s="10" t="s">
        <v>27</v>
      </c>
      <c r="B25">
        <v>160.6</v>
      </c>
      <c r="C25">
        <v>495.1</v>
      </c>
      <c r="D25">
        <v>126.9</v>
      </c>
      <c r="E25">
        <v>475.1</v>
      </c>
    </row>
    <row r="26" spans="1:13" x14ac:dyDescent="0.35">
      <c r="A26" s="10" t="s">
        <v>214</v>
      </c>
      <c r="B26" s="81">
        <v>1494.2</v>
      </c>
      <c r="C26">
        <v>0</v>
      </c>
      <c r="D26">
        <v>0</v>
      </c>
      <c r="E26">
        <v>0</v>
      </c>
    </row>
    <row r="27" spans="1:13" x14ac:dyDescent="0.35">
      <c r="A27" s="4" t="s">
        <v>16</v>
      </c>
      <c r="B27" s="5">
        <f>SUM(B22:B26)</f>
        <v>11775.2</v>
      </c>
      <c r="C27" s="5">
        <f>SUM(C22:C26)</f>
        <v>12481.6</v>
      </c>
      <c r="D27" s="5">
        <f>SUM(D22:D26)</f>
        <v>15052.7</v>
      </c>
      <c r="E27" s="5">
        <f>SUM(E22:E26)</f>
        <v>17138.2</v>
      </c>
    </row>
    <row r="28" spans="1:13" x14ac:dyDescent="0.35">
      <c r="A28" t="s">
        <v>174</v>
      </c>
      <c r="B28">
        <v>13843.7</v>
      </c>
      <c r="C28">
        <v>16784.5</v>
      </c>
      <c r="D28">
        <v>15387</v>
      </c>
      <c r="E28">
        <f>14871.8+574</f>
        <v>15445.8</v>
      </c>
    </row>
    <row r="29" spans="1:13" x14ac:dyDescent="0.35">
      <c r="A29" t="s">
        <v>175</v>
      </c>
      <c r="B29">
        <v>2187.5</v>
      </c>
      <c r="C29">
        <v>2099.9</v>
      </c>
      <c r="D29">
        <v>1733.7</v>
      </c>
      <c r="E29">
        <v>87.3</v>
      </c>
    </row>
    <row r="30" spans="1:13" x14ac:dyDescent="0.35">
      <c r="A30" t="s">
        <v>176</v>
      </c>
      <c r="B30">
        <f>5082.4+3698.2</f>
        <v>8780.5999999999985</v>
      </c>
      <c r="C30">
        <f>5347.4+4094.5</f>
        <v>9441.9</v>
      </c>
      <c r="D30">
        <f>5523.7+1954.1</f>
        <v>7477.7999999999993</v>
      </c>
      <c r="E30">
        <f>4738+1305.1</f>
        <v>6043.1</v>
      </c>
    </row>
    <row r="31" spans="1:13" x14ac:dyDescent="0.35">
      <c r="A31" s="4" t="s">
        <v>177</v>
      </c>
      <c r="B31" s="5">
        <f>SUM(B27:B30)</f>
        <v>36587</v>
      </c>
      <c r="C31" s="5">
        <f>SUM(C27:C30)</f>
        <v>40807.9</v>
      </c>
      <c r="D31" s="5">
        <f>SUM(D27:D30)</f>
        <v>39651.199999999997</v>
      </c>
      <c r="E31" s="5">
        <f>SUM(E27:E30)</f>
        <v>38714.400000000001</v>
      </c>
    </row>
    <row r="32" spans="1:13" x14ac:dyDescent="0.35">
      <c r="A32" s="4"/>
      <c r="B32" s="2"/>
      <c r="C32" s="2"/>
      <c r="D32" s="2"/>
      <c r="E32" s="2"/>
    </row>
    <row r="33" spans="1:6" x14ac:dyDescent="0.35">
      <c r="A33" s="4" t="s">
        <v>251</v>
      </c>
      <c r="B33" s="2"/>
      <c r="C33" s="2"/>
      <c r="D33" s="2"/>
    </row>
    <row r="34" spans="1:6" x14ac:dyDescent="0.35">
      <c r="A34" t="s">
        <v>28</v>
      </c>
      <c r="B34">
        <v>598.79999999999995</v>
      </c>
      <c r="C34">
        <v>598.20000000000005</v>
      </c>
      <c r="D34">
        <v>596.29999999999995</v>
      </c>
      <c r="E34">
        <v>594.1</v>
      </c>
    </row>
    <row r="35" spans="1:6" x14ac:dyDescent="0.35">
      <c r="A35" t="s">
        <v>17</v>
      </c>
      <c r="B35">
        <v>6685.3</v>
      </c>
      <c r="C35">
        <v>6778.5</v>
      </c>
      <c r="D35">
        <v>6833.4</v>
      </c>
      <c r="E35">
        <v>6921.4</v>
      </c>
    </row>
    <row r="36" spans="1:6" x14ac:dyDescent="0.35">
      <c r="A36" t="s">
        <v>18</v>
      </c>
      <c r="B36">
        <v>4920.3999999999996</v>
      </c>
      <c r="C36">
        <v>7830.2</v>
      </c>
      <c r="D36">
        <v>8958.5</v>
      </c>
      <c r="E36">
        <v>10042.6</v>
      </c>
    </row>
    <row r="37" spans="1:6" x14ac:dyDescent="0.35">
      <c r="A37" t="s">
        <v>19</v>
      </c>
      <c r="B37">
        <v>-9536.7999999999993</v>
      </c>
      <c r="C37">
        <v>-9509.6</v>
      </c>
      <c r="D37">
        <v>-7356.3</v>
      </c>
      <c r="E37">
        <v>-6857.8</v>
      </c>
    </row>
    <row r="38" spans="1:6" x14ac:dyDescent="0.35">
      <c r="A38" t="s">
        <v>29</v>
      </c>
      <c r="B38">
        <v>-60.8</v>
      </c>
      <c r="C38">
        <v>-55.7</v>
      </c>
      <c r="D38">
        <v>-52.7</v>
      </c>
      <c r="E38">
        <v>-50.5</v>
      </c>
      <c r="F38" s="2"/>
    </row>
    <row r="39" spans="1:6" x14ac:dyDescent="0.35">
      <c r="A39" s="4" t="s">
        <v>252</v>
      </c>
      <c r="B39" s="5">
        <f>SUM(B34:B38)</f>
        <v>2606.9000000000005</v>
      </c>
      <c r="C39" s="5">
        <f>SUM(C34:C38)</f>
        <v>5641.5999999999995</v>
      </c>
      <c r="D39" s="5">
        <f>SUM(D34:D38)</f>
        <v>8979.2000000000007</v>
      </c>
      <c r="E39" s="5">
        <f>SUM(E34:E38)</f>
        <v>10649.8</v>
      </c>
    </row>
    <row r="40" spans="1:6" x14ac:dyDescent="0.35">
      <c r="A40" t="s">
        <v>178</v>
      </c>
      <c r="B40">
        <v>92.2</v>
      </c>
      <c r="C40">
        <v>183.6</v>
      </c>
      <c r="D40">
        <v>175.6</v>
      </c>
      <c r="E40">
        <v>125.6</v>
      </c>
    </row>
    <row r="41" spans="1:6" x14ac:dyDescent="0.35">
      <c r="A41" s="4" t="s">
        <v>20</v>
      </c>
      <c r="B41" s="5">
        <f>SUM(B39:B40)</f>
        <v>2699.1000000000004</v>
      </c>
      <c r="C41" s="5">
        <f>SUM(C39:C40)</f>
        <v>5825.2</v>
      </c>
      <c r="D41" s="5">
        <f>SUM(D39:D40)</f>
        <v>9154.8000000000011</v>
      </c>
      <c r="E41" s="5">
        <f>SUM(E39:E40)</f>
        <v>10775.4</v>
      </c>
    </row>
    <row r="42" spans="1:6" s="4" customFormat="1" x14ac:dyDescent="0.35">
      <c r="A42" s="4" t="s">
        <v>117</v>
      </c>
      <c r="B42" s="5">
        <f>B41+B31</f>
        <v>39286.1</v>
      </c>
      <c r="C42" s="5">
        <f>C41+C31</f>
        <v>46633.1</v>
      </c>
      <c r="D42" s="5">
        <f>D41+D31</f>
        <v>48806</v>
      </c>
      <c r="E42" s="5">
        <f>E41+E31</f>
        <v>49489.8</v>
      </c>
    </row>
    <row r="43" spans="1:6" x14ac:dyDescent="0.35">
      <c r="A43" s="4" t="s">
        <v>179</v>
      </c>
      <c r="B43" t="b">
        <f>B42=B18</f>
        <v>1</v>
      </c>
      <c r="C43" t="b">
        <f>C42=C18</f>
        <v>1</v>
      </c>
      <c r="D43" t="b">
        <f>D42=D18</f>
        <v>1</v>
      </c>
      <c r="E43" t="b">
        <f>E42=E18</f>
        <v>1</v>
      </c>
      <c r="F43" t="str">
        <f ca="1">"&lt;--"&amp;_xlfn.FORMULATEXT(E43)</f>
        <v>&lt;--=E42=E18</v>
      </c>
    </row>
  </sheetData>
  <sortState xmlns:xlrd2="http://schemas.microsoft.com/office/spreadsheetml/2017/richdata2" columnSort="1" ref="B2:E43">
    <sortCondition ref="B2:E2"/>
  </sortState>
  <mergeCells count="2">
    <mergeCell ref="A1:E1"/>
    <mergeCell ref="H1:M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E7F72-BDED-4484-A185-8B398A27B18C}">
  <sheetPr codeName="Sheet3"/>
  <dimension ref="A1:E36"/>
  <sheetViews>
    <sheetView zoomScale="83" workbookViewId="0">
      <selection activeCell="A39" sqref="A39"/>
    </sheetView>
  </sheetViews>
  <sheetFormatPr defaultColWidth="8.7265625" defaultRowHeight="14.5" x14ac:dyDescent="0.35"/>
  <cols>
    <col min="1" max="1" width="46.54296875" customWidth="1"/>
  </cols>
  <sheetData>
    <row r="1" spans="1:5" ht="40.5" customHeight="1" x14ac:dyDescent="0.45">
      <c r="A1" s="89" t="s">
        <v>215</v>
      </c>
      <c r="B1" s="89"/>
      <c r="C1" s="89"/>
      <c r="D1" s="89"/>
      <c r="E1" s="89"/>
    </row>
    <row r="2" spans="1:5" x14ac:dyDescent="0.35">
      <c r="A2" s="9"/>
      <c r="B2" s="9">
        <v>2019</v>
      </c>
      <c r="C2" s="9">
        <v>2020</v>
      </c>
      <c r="D2" s="9">
        <v>2021</v>
      </c>
      <c r="E2" s="9">
        <v>2022</v>
      </c>
    </row>
    <row r="3" spans="1:5" x14ac:dyDescent="0.35">
      <c r="A3" s="4" t="s">
        <v>181</v>
      </c>
    </row>
    <row r="4" spans="1:5" x14ac:dyDescent="0.35">
      <c r="A4" t="s">
        <v>41</v>
      </c>
      <c r="B4">
        <v>8318.4</v>
      </c>
      <c r="C4">
        <v>6193.7</v>
      </c>
      <c r="D4">
        <v>5581.7</v>
      </c>
      <c r="E4">
        <v>6244.8</v>
      </c>
    </row>
    <row r="5" spans="1:5" x14ac:dyDescent="0.35">
      <c r="A5" t="s">
        <v>42</v>
      </c>
    </row>
    <row r="6" spans="1:5" x14ac:dyDescent="0.35">
      <c r="A6" s="3" t="s">
        <v>43</v>
      </c>
      <c r="B6">
        <v>1232.5999999999999</v>
      </c>
      <c r="C6">
        <v>1323.9</v>
      </c>
      <c r="D6">
        <v>1547.6</v>
      </c>
      <c r="E6">
        <v>1522.5</v>
      </c>
    </row>
    <row r="7" spans="1:5" x14ac:dyDescent="0.35">
      <c r="A7" s="3" t="s">
        <v>30</v>
      </c>
      <c r="B7">
        <f>-309.8-403.1+239.6+312.4-3680.5+814.2</f>
        <v>-3027.2</v>
      </c>
      <c r="C7">
        <f>-1438.5+660.4+308.1+199.4</f>
        <v>-270.60000000000002</v>
      </c>
      <c r="D7">
        <f>-178+874.9+342.8+114.3</f>
        <v>1154</v>
      </c>
      <c r="E7">
        <f>420+420.9+371.1-1880.4</f>
        <v>-668.40000000000009</v>
      </c>
    </row>
    <row r="8" spans="1:5" x14ac:dyDescent="0.35">
      <c r="A8" s="3" t="s">
        <v>44</v>
      </c>
    </row>
    <row r="9" spans="1:5" x14ac:dyDescent="0.35">
      <c r="A9" s="11" t="s">
        <v>21</v>
      </c>
      <c r="B9">
        <v>-127.2</v>
      </c>
      <c r="C9">
        <v>-1350.2</v>
      </c>
      <c r="D9">
        <v>-1278.3</v>
      </c>
      <c r="E9">
        <v>-299.60000000000002</v>
      </c>
    </row>
    <row r="10" spans="1:5" x14ac:dyDescent="0.35">
      <c r="A10" s="11" t="s">
        <v>22</v>
      </c>
      <c r="B10">
        <v>-258.7</v>
      </c>
      <c r="C10">
        <v>-533.4</v>
      </c>
      <c r="D10">
        <v>-235.9</v>
      </c>
      <c r="E10">
        <v>-599.70000000000005</v>
      </c>
    </row>
    <row r="11" spans="1:5" x14ac:dyDescent="0.35">
      <c r="A11" s="11" t="s">
        <v>25</v>
      </c>
      <c r="B11">
        <v>-477.7</v>
      </c>
      <c r="C11">
        <v>1271.3</v>
      </c>
      <c r="D11">
        <v>-664.1</v>
      </c>
      <c r="E11">
        <v>1331.7</v>
      </c>
    </row>
    <row r="12" spans="1:5" x14ac:dyDescent="0.35">
      <c r="A12" s="11" t="s">
        <v>26</v>
      </c>
      <c r="B12">
        <v>0</v>
      </c>
      <c r="C12">
        <v>0</v>
      </c>
      <c r="D12">
        <v>0</v>
      </c>
      <c r="E12">
        <v>0</v>
      </c>
    </row>
    <row r="13" spans="1:5" x14ac:dyDescent="0.35">
      <c r="A13" s="11" t="s">
        <v>27</v>
      </c>
      <c r="B13">
        <v>-221.3</v>
      </c>
      <c r="C13">
        <v>322</v>
      </c>
      <c r="D13">
        <v>-359.7</v>
      </c>
      <c r="E13">
        <v>346.6</v>
      </c>
    </row>
    <row r="14" spans="1:5" x14ac:dyDescent="0.35">
      <c r="A14" s="11" t="s">
        <v>216</v>
      </c>
      <c r="B14">
        <v>-602.29999999999995</v>
      </c>
      <c r="C14">
        <v>-457.1</v>
      </c>
      <c r="D14">
        <v>1515.4</v>
      </c>
      <c r="E14">
        <v>-793.5</v>
      </c>
    </row>
    <row r="15" spans="1:5" x14ac:dyDescent="0.35">
      <c r="A15" s="11" t="s">
        <v>30</v>
      </c>
      <c r="B15">
        <v>0</v>
      </c>
      <c r="C15">
        <v>0</v>
      </c>
      <c r="D15">
        <v>0</v>
      </c>
      <c r="E15">
        <v>0</v>
      </c>
    </row>
    <row r="16" spans="1:5" x14ac:dyDescent="0.35">
      <c r="A16" s="4" t="s">
        <v>182</v>
      </c>
      <c r="B16" s="5">
        <f>SUM(B4:B15)</f>
        <v>4836.6000000000004</v>
      </c>
      <c r="C16" s="5">
        <f>SUM(C4:C15)</f>
        <v>6499.6</v>
      </c>
      <c r="D16" s="5">
        <f>SUM(D4:D15)</f>
        <v>7260.6999999999989</v>
      </c>
      <c r="E16" s="5">
        <f>SUM(E4:E15)</f>
        <v>7084.4</v>
      </c>
    </row>
    <row r="17" spans="1:5" x14ac:dyDescent="0.35">
      <c r="B17" s="2"/>
      <c r="C17" s="2"/>
      <c r="D17" s="2"/>
    </row>
    <row r="18" spans="1:5" x14ac:dyDescent="0.35">
      <c r="A18" s="4" t="s">
        <v>183</v>
      </c>
      <c r="B18" s="2"/>
      <c r="C18" s="2"/>
      <c r="D18" s="2"/>
    </row>
    <row r="19" spans="1:5" x14ac:dyDescent="0.35">
      <c r="A19" t="s">
        <v>31</v>
      </c>
      <c r="B19">
        <v>-1033.9000000000001</v>
      </c>
      <c r="C19">
        <v>-1387.9</v>
      </c>
      <c r="D19">
        <v>-1309.8</v>
      </c>
      <c r="E19">
        <v>-1854.3</v>
      </c>
    </row>
    <row r="20" spans="1:5" x14ac:dyDescent="0.35">
      <c r="A20" t="s">
        <v>32</v>
      </c>
      <c r="B20">
        <f>456.2+354.8</f>
        <v>811</v>
      </c>
      <c r="C20">
        <v>516.70000000000005</v>
      </c>
      <c r="D20">
        <v>-166</v>
      </c>
      <c r="E20">
        <v>-244</v>
      </c>
    </row>
    <row r="21" spans="1:5" x14ac:dyDescent="0.35">
      <c r="A21" t="s">
        <v>33</v>
      </c>
      <c r="B21">
        <v>-319.60000000000002</v>
      </c>
      <c r="C21">
        <v>-641.20000000000005</v>
      </c>
      <c r="D21">
        <v>-563.4</v>
      </c>
      <c r="E21">
        <v>-629.70000000000005</v>
      </c>
    </row>
    <row r="22" spans="1:5" x14ac:dyDescent="0.35">
      <c r="A22" t="s">
        <v>34</v>
      </c>
      <c r="B22">
        <v>-6917.7</v>
      </c>
      <c r="C22">
        <v>-849.3</v>
      </c>
      <c r="D22">
        <v>-747.4</v>
      </c>
      <c r="E22">
        <v>-327.2</v>
      </c>
    </row>
    <row r="23" spans="1:5" x14ac:dyDescent="0.35">
      <c r="A23" t="s">
        <v>30</v>
      </c>
      <c r="B23">
        <v>-622.70000000000005</v>
      </c>
      <c r="C23">
        <v>102.8</v>
      </c>
      <c r="D23">
        <v>24.3</v>
      </c>
      <c r="E23">
        <v>-206.4</v>
      </c>
    </row>
    <row r="24" spans="1:5" x14ac:dyDescent="0.35">
      <c r="A24" s="4" t="s">
        <v>184</v>
      </c>
      <c r="B24" s="5">
        <f>SUM(B19:B23)</f>
        <v>-8082.9</v>
      </c>
      <c r="C24" s="5">
        <f>SUM(C19:C23)</f>
        <v>-2258.8999999999996</v>
      </c>
      <c r="D24" s="5">
        <f>SUM(D19:D23)</f>
        <v>-2762.2999999999997</v>
      </c>
      <c r="E24" s="5">
        <f>SUM(E19:E23)</f>
        <v>-3261.6</v>
      </c>
    </row>
    <row r="25" spans="1:5" x14ac:dyDescent="0.35">
      <c r="C25" s="2"/>
      <c r="D25" s="2"/>
    </row>
    <row r="26" spans="1:5" x14ac:dyDescent="0.35">
      <c r="A26" s="4" t="s">
        <v>35</v>
      </c>
    </row>
    <row r="27" spans="1:5" x14ac:dyDescent="0.35">
      <c r="A27" t="s">
        <v>36</v>
      </c>
      <c r="B27">
        <v>7551.8</v>
      </c>
      <c r="C27">
        <v>2062.3000000000002</v>
      </c>
      <c r="D27">
        <v>2410.8000000000002</v>
      </c>
      <c r="E27">
        <v>1498</v>
      </c>
    </row>
    <row r="28" spans="1:5" x14ac:dyDescent="0.35">
      <c r="A28" t="s">
        <v>37</v>
      </c>
      <c r="B28">
        <v>-2866.4</v>
      </c>
      <c r="C28">
        <v>-1770.7</v>
      </c>
      <c r="D28">
        <v>-1909.4</v>
      </c>
      <c r="E28">
        <v>-1560</v>
      </c>
    </row>
    <row r="29" spans="1:5" x14ac:dyDescent="0.35">
      <c r="A29" t="s">
        <v>38</v>
      </c>
      <c r="B29">
        <v>0</v>
      </c>
      <c r="C29">
        <v>0</v>
      </c>
      <c r="D29">
        <v>0</v>
      </c>
      <c r="E29">
        <v>0</v>
      </c>
    </row>
    <row r="30" spans="1:5" x14ac:dyDescent="0.35">
      <c r="A30" t="s">
        <v>217</v>
      </c>
      <c r="B30">
        <v>-4400</v>
      </c>
      <c r="C30">
        <v>-500</v>
      </c>
      <c r="D30">
        <v>-1250</v>
      </c>
      <c r="E30">
        <v>-1500</v>
      </c>
    </row>
    <row r="31" spans="1:5" x14ac:dyDescent="0.35">
      <c r="A31" t="s">
        <v>39</v>
      </c>
      <c r="B31">
        <v>-2409.8000000000002</v>
      </c>
      <c r="C31">
        <v>-2687.1</v>
      </c>
      <c r="D31">
        <v>-3086.8</v>
      </c>
      <c r="E31">
        <v>-3535.8</v>
      </c>
    </row>
    <row r="32" spans="1:5" x14ac:dyDescent="0.35">
      <c r="A32" t="s">
        <v>40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 t="s">
        <v>30</v>
      </c>
      <c r="B33">
        <v>-200.1</v>
      </c>
      <c r="C33">
        <v>-241.6</v>
      </c>
      <c r="D33">
        <v>-295.89999999999998</v>
      </c>
      <c r="E33">
        <v>-308.89999999999998</v>
      </c>
    </row>
    <row r="34" spans="1:5" x14ac:dyDescent="0.35">
      <c r="A34" s="4" t="s">
        <v>185</v>
      </c>
      <c r="B34" s="5">
        <f>SUM(B27:B33)</f>
        <v>-2324.5000000000005</v>
      </c>
      <c r="C34" s="5">
        <f>SUM(C27:C33)</f>
        <v>-3137.1</v>
      </c>
      <c r="D34" s="5">
        <f>SUM(D27:D33)</f>
        <v>-4131.3</v>
      </c>
      <c r="E34" s="5">
        <f>SUM(E27:E33)</f>
        <v>-5406.7</v>
      </c>
    </row>
    <row r="35" spans="1:5" x14ac:dyDescent="0.35">
      <c r="A35" t="s">
        <v>186</v>
      </c>
      <c r="B35">
        <v>-89.9</v>
      </c>
      <c r="C35">
        <v>216</v>
      </c>
      <c r="D35">
        <v>-205.7</v>
      </c>
      <c r="E35">
        <v>-167.6</v>
      </c>
    </row>
    <row r="36" spans="1:5" x14ac:dyDescent="0.35">
      <c r="A36" s="4" t="s">
        <v>187</v>
      </c>
      <c r="B36" s="5">
        <f>SUM(B16,B24,B34,B35)</f>
        <v>-5660.6999999999989</v>
      </c>
      <c r="C36" s="5">
        <f>SUM(C16,C24,C34,C35)</f>
        <v>1319.6000000000008</v>
      </c>
      <c r="D36" s="5">
        <f>SUM(D16,D24,D34,D35)</f>
        <v>161.39999999999947</v>
      </c>
      <c r="E36" s="5">
        <f>SUM(E16,E24,E34,E35)</f>
        <v>-1751.5</v>
      </c>
    </row>
  </sheetData>
  <sortState xmlns:xlrd2="http://schemas.microsoft.com/office/spreadsheetml/2017/richdata2" columnSort="1" ref="B2:E36">
    <sortCondition ref="B2:E2"/>
  </sortState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C497F-AB2E-4997-9C3C-8226754C2FBF}">
  <sheetPr codeName="Sheet4"/>
  <dimension ref="A1:J20"/>
  <sheetViews>
    <sheetView zoomScale="74" workbookViewId="0">
      <selection activeCell="B13" sqref="B13"/>
    </sheetView>
  </sheetViews>
  <sheetFormatPr defaultRowHeight="14.5" x14ac:dyDescent="0.35"/>
  <cols>
    <col min="1" max="1" width="10.54296875" customWidth="1"/>
    <col min="2" max="2" width="12.453125" bestFit="1" customWidth="1"/>
    <col min="3" max="3" width="18.08984375" bestFit="1" customWidth="1"/>
    <col min="4" max="4" width="12.08984375" bestFit="1" customWidth="1"/>
  </cols>
  <sheetData>
    <row r="1" spans="1:10" ht="18.5" x14ac:dyDescent="0.45">
      <c r="A1" s="90" t="s">
        <v>222</v>
      </c>
      <c r="B1" s="90"/>
      <c r="C1" s="90"/>
      <c r="D1" s="90"/>
      <c r="E1" s="90"/>
      <c r="F1" s="90"/>
      <c r="G1" s="90"/>
      <c r="H1" s="90"/>
      <c r="I1" s="90"/>
      <c r="J1" s="90"/>
    </row>
    <row r="2" spans="1:10" x14ac:dyDescent="0.35">
      <c r="A2" s="4" t="s">
        <v>58</v>
      </c>
      <c r="B2" s="4" t="s">
        <v>56</v>
      </c>
      <c r="C2" s="4" t="s">
        <v>57</v>
      </c>
    </row>
    <row r="3" spans="1:10" x14ac:dyDescent="0.35">
      <c r="A3">
        <v>2022</v>
      </c>
      <c r="B3" s="12">
        <v>28541000000</v>
      </c>
      <c r="C3" s="13">
        <f>LN(B3/B4)</f>
        <v>7.8440051144724361E-3</v>
      </c>
      <c r="D3" t="str">
        <f ca="1">"&lt;--"&amp;_xlfn.FORMULATEXT(C3)</f>
        <v>&lt;--=LN(B3/B4)</v>
      </c>
    </row>
    <row r="4" spans="1:10" x14ac:dyDescent="0.35">
      <c r="A4">
        <v>2021</v>
      </c>
      <c r="B4" s="12">
        <v>28318000000</v>
      </c>
      <c r="C4" s="13">
        <f t="shared" ref="C4:C11" si="0">LN(B4/B5)</f>
        <v>0.14319320558001372</v>
      </c>
      <c r="D4" t="str">
        <f ca="1">"&lt;--"&amp;_xlfn.FORMULATEXT(C4)</f>
        <v>&lt;--=LN(B4/B5)</v>
      </c>
    </row>
    <row r="5" spans="1:10" x14ac:dyDescent="0.35">
      <c r="A5">
        <v>2020</v>
      </c>
      <c r="B5" s="12">
        <v>24540000000</v>
      </c>
      <c r="C5" s="13">
        <f t="shared" si="0"/>
        <v>9.4821301769655114E-2</v>
      </c>
    </row>
    <row r="6" spans="1:10" x14ac:dyDescent="0.35">
      <c r="A6">
        <v>2019</v>
      </c>
      <c r="B6" s="12">
        <v>22320000000</v>
      </c>
      <c r="C6" s="13">
        <f t="shared" si="0"/>
        <v>3.7755836787971453E-2</v>
      </c>
    </row>
    <row r="7" spans="1:10" x14ac:dyDescent="0.35">
      <c r="A7">
        <v>2018</v>
      </c>
      <c r="B7" s="12">
        <v>21493000000</v>
      </c>
      <c r="C7" s="13">
        <f t="shared" si="0"/>
        <v>7.3295872904195827E-2</v>
      </c>
    </row>
    <row r="8" spans="1:10" x14ac:dyDescent="0.35">
      <c r="A8">
        <v>2017</v>
      </c>
      <c r="B8" s="12">
        <v>19974000000</v>
      </c>
      <c r="C8" s="13">
        <f t="shared" si="0"/>
        <v>-6.0606951630455645E-2</v>
      </c>
    </row>
    <row r="9" spans="1:10" x14ac:dyDescent="0.35">
      <c r="A9">
        <v>2016</v>
      </c>
      <c r="B9" s="12">
        <v>21222000000</v>
      </c>
      <c r="C9" s="13">
        <f t="shared" si="0"/>
        <v>6.1358210023538466E-2</v>
      </c>
    </row>
    <row r="10" spans="1:10" x14ac:dyDescent="0.35">
      <c r="A10">
        <v>2015</v>
      </c>
      <c r="B10" s="12">
        <v>19959000000</v>
      </c>
      <c r="C10" s="13">
        <f t="shared" si="0"/>
        <v>1.7334609674059153E-2</v>
      </c>
    </row>
    <row r="11" spans="1:10" x14ac:dyDescent="0.35">
      <c r="A11">
        <v>2014</v>
      </c>
      <c r="B11" s="12">
        <v>19616000000</v>
      </c>
      <c r="C11" s="13">
        <f t="shared" si="0"/>
        <v>-0.16404967004075116</v>
      </c>
    </row>
    <row r="12" spans="1:10" x14ac:dyDescent="0.35">
      <c r="A12">
        <v>2013</v>
      </c>
      <c r="B12" s="12">
        <v>23113000000</v>
      </c>
      <c r="C12" s="13"/>
    </row>
    <row r="14" spans="1:10" x14ac:dyDescent="0.35">
      <c r="A14" s="14" t="s">
        <v>59</v>
      </c>
      <c r="B14" s="15">
        <f>(B3/B12)^(1/9)-1</f>
        <v>2.371533123827585E-2</v>
      </c>
      <c r="C14" t="str">
        <f ca="1">"&lt;--"&amp;_xlfn.FORMULATEXT(B14)</f>
        <v>&lt;--=(B3/B12)^(1/9)-1</v>
      </c>
    </row>
    <row r="16" spans="1:10" x14ac:dyDescent="0.35">
      <c r="A16" s="91" t="s">
        <v>60</v>
      </c>
      <c r="B16" s="91"/>
      <c r="C16" s="91"/>
    </row>
    <row r="17" spans="1:3" x14ac:dyDescent="0.35">
      <c r="A17" t="s">
        <v>221</v>
      </c>
      <c r="B17" s="13">
        <f>(B3/B12)^(1/9)-1</f>
        <v>2.371533123827585E-2</v>
      </c>
      <c r="C17" t="str">
        <f ca="1">"&lt;--"&amp;_xlfn.FORMULATEXT(B17)</f>
        <v>&lt;--=(B3/B12)^(1/9)-1</v>
      </c>
    </row>
    <row r="18" spans="1:3" x14ac:dyDescent="0.35">
      <c r="A18" t="s">
        <v>220</v>
      </c>
      <c r="B18" s="13">
        <f>(B3/B10)^(1/7)-1</f>
        <v>5.242233957119824E-2</v>
      </c>
      <c r="C18" t="str">
        <f ca="1">"&lt;--"&amp;_xlfn.FORMULATEXT(B18)</f>
        <v>&lt;--=(B3/B10)^(1/7)-1</v>
      </c>
    </row>
    <row r="19" spans="1:3" x14ac:dyDescent="0.35">
      <c r="A19" t="s">
        <v>219</v>
      </c>
      <c r="B19" s="13">
        <f>(B3/B8)^(1/5)-1</f>
        <v>7.399145995604206E-2</v>
      </c>
      <c r="C19" t="str">
        <f ca="1">"&lt;--"&amp;_xlfn.FORMULATEXT(B19)</f>
        <v>&lt;--=(B3/B8)^(1/5)-1</v>
      </c>
    </row>
    <row r="20" spans="1:3" x14ac:dyDescent="0.35">
      <c r="A20" t="s">
        <v>218</v>
      </c>
      <c r="B20" s="13">
        <f>(B3/B6)^(1/3)-1</f>
        <v>8.5404618214115713E-2</v>
      </c>
      <c r="C20" t="str">
        <f ca="1">"&lt;--"&amp;_xlfn.FORMULATEXT(B20)</f>
        <v>&lt;--=(B3/B6)^(1/3)-1</v>
      </c>
    </row>
  </sheetData>
  <mergeCells count="2">
    <mergeCell ref="A16:C16"/>
    <mergeCell ref="A1:J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71AC4-34F7-465E-8E65-92DBC4045A57}">
  <sheetPr codeName="Sheet5"/>
  <dimension ref="A1:F13"/>
  <sheetViews>
    <sheetView zoomScale="70" zoomScaleNormal="70" workbookViewId="0">
      <selection activeCell="I11" sqref="I11"/>
    </sheetView>
  </sheetViews>
  <sheetFormatPr defaultRowHeight="14.5" x14ac:dyDescent="0.35"/>
  <cols>
    <col min="1" max="1" width="32.453125" bestFit="1" customWidth="1"/>
    <col min="2" max="5" width="8.08984375" customWidth="1"/>
    <col min="6" max="6" width="29.26953125" bestFit="1" customWidth="1"/>
  </cols>
  <sheetData>
    <row r="1" spans="1:6" ht="18.5" x14ac:dyDescent="0.45">
      <c r="A1" s="90" t="s">
        <v>223</v>
      </c>
      <c r="B1" s="90"/>
      <c r="C1" s="90"/>
      <c r="D1" s="90"/>
      <c r="E1" s="90"/>
      <c r="F1" s="90"/>
    </row>
    <row r="2" spans="1:6" x14ac:dyDescent="0.35">
      <c r="A2" s="9"/>
      <c r="B2" s="9">
        <v>2019</v>
      </c>
      <c r="C2" s="9">
        <v>2020</v>
      </c>
      <c r="D2" s="9">
        <v>2021</v>
      </c>
      <c r="E2" s="9">
        <v>2022</v>
      </c>
    </row>
    <row r="3" spans="1:6" x14ac:dyDescent="0.35">
      <c r="A3" t="str">
        <f>'LLY Income Statement'!A3</f>
        <v>Sales</v>
      </c>
      <c r="B3" s="2">
        <f>'LLY Income Statement'!B3</f>
        <v>22319.5</v>
      </c>
      <c r="C3" s="2">
        <f>'LLY Income Statement'!C3</f>
        <v>24539.8</v>
      </c>
      <c r="D3" s="2">
        <f>'LLY Income Statement'!D3</f>
        <v>28318.400000000001</v>
      </c>
      <c r="E3" s="2">
        <f>'LLY Income Statement'!E3</f>
        <v>28541.4</v>
      </c>
      <c r="F3" t="str">
        <f t="shared" ref="F3:F10" ca="1" si="0">"&lt;--"&amp;_xlfn.FORMULATEXT(E3)</f>
        <v>&lt;--='LLY Income Statement'!E3</v>
      </c>
    </row>
    <row r="4" spans="1:6" x14ac:dyDescent="0.35">
      <c r="A4" t="str">
        <f>'LLY Income Statement'!A4</f>
        <v>Cost of sales</v>
      </c>
      <c r="B4" s="2">
        <f>'LLY Income Statement'!B4</f>
        <v>4721.2</v>
      </c>
      <c r="C4" s="2">
        <f>'LLY Income Statement'!C4</f>
        <v>5483.3</v>
      </c>
      <c r="D4" s="2">
        <f>'LLY Income Statement'!D4</f>
        <v>6973.1</v>
      </c>
      <c r="E4" s="2">
        <f>'LLY Income Statement'!E4</f>
        <v>6629.8</v>
      </c>
      <c r="F4" t="str">
        <f t="shared" ca="1" si="0"/>
        <v>&lt;--='LLY Income Statement'!E4</v>
      </c>
    </row>
    <row r="5" spans="1:6" x14ac:dyDescent="0.35">
      <c r="A5" t="str">
        <f>'LLY Income Statement'!A6</f>
        <v>Other costs, expenses and other</v>
      </c>
      <c r="B5" s="2">
        <f>'LLY Income Statement'!B13</f>
        <v>12332.4</v>
      </c>
      <c r="C5" s="2">
        <f>'LLY Income Statement'!C13</f>
        <v>11826.600000000002</v>
      </c>
      <c r="D5" s="2">
        <f>'LLY Income Statement'!D13</f>
        <v>15189.799999999997</v>
      </c>
      <c r="E5" s="2">
        <f>'LLY Income Statement'!E13</f>
        <v>15105.2</v>
      </c>
      <c r="F5" t="str">
        <f t="shared" ca="1" si="0"/>
        <v>&lt;--='LLY Income Statement'!E13</v>
      </c>
    </row>
    <row r="6" spans="1:6" x14ac:dyDescent="0.35">
      <c r="A6" t="str">
        <f>'LLY Income Statement'!A11</f>
        <v>Interest expense</v>
      </c>
      <c r="B6" s="2">
        <f>-'LLY Income Statement'!B11</f>
        <v>-400.6</v>
      </c>
      <c r="C6" s="2">
        <f>-'LLY Income Statement'!C11</f>
        <v>-359.6</v>
      </c>
      <c r="D6" s="2">
        <f>-'LLY Income Statement'!D11</f>
        <v>-339.8</v>
      </c>
      <c r="E6" s="2">
        <f>-'LLY Income Statement'!E11</f>
        <v>-331.6</v>
      </c>
      <c r="F6" t="str">
        <f t="shared" ca="1" si="0"/>
        <v>&lt;--=-'LLY Income Statement'!E11</v>
      </c>
    </row>
    <row r="7" spans="1:6" x14ac:dyDescent="0.35">
      <c r="A7" t="str">
        <f>'LLY Income Statement'!A10</f>
        <v>Interest income</v>
      </c>
      <c r="B7" s="2">
        <f>-'LLY Income Statement'!B10</f>
        <v>80.400000000000006</v>
      </c>
      <c r="C7" s="2">
        <f>-'LLY Income Statement'!C10</f>
        <v>33</v>
      </c>
      <c r="D7" s="2">
        <f>-'LLY Income Statement'!D10</f>
        <v>25.4</v>
      </c>
      <c r="E7" s="2">
        <f>-'LLY Income Statement'!E10</f>
        <v>62.8</v>
      </c>
      <c r="F7" t="str">
        <f t="shared" ca="1" si="0"/>
        <v>&lt;--=-'LLY Income Statement'!E10</v>
      </c>
    </row>
    <row r="8" spans="1:6" x14ac:dyDescent="0.35">
      <c r="A8" s="2" t="str">
        <f>'LLY Cash-flows'!A6</f>
        <v>Depreciation and amortization</v>
      </c>
      <c r="B8" s="2">
        <f>-'LLY Cash-flows'!B6</f>
        <v>-1232.5999999999999</v>
      </c>
      <c r="C8" s="2">
        <f>-'LLY Cash-flows'!C6</f>
        <v>-1323.9</v>
      </c>
      <c r="D8" s="2">
        <f>-'LLY Cash-flows'!D6</f>
        <v>-1547.6</v>
      </c>
      <c r="E8" s="2">
        <f>-'LLY Cash-flows'!E6</f>
        <v>-1522.5</v>
      </c>
      <c r="F8" t="str">
        <f t="shared" ca="1" si="0"/>
        <v>&lt;--=-'LLY Cash-flows'!E6</v>
      </c>
    </row>
    <row r="9" spans="1:6" x14ac:dyDescent="0.35">
      <c r="A9" s="4" t="s">
        <v>69</v>
      </c>
      <c r="B9" s="5">
        <f>SUM(B4:B8)</f>
        <v>15500.800000000001</v>
      </c>
      <c r="C9" s="5">
        <f t="shared" ref="C9:E9" si="1">SUM(C4:C8)</f>
        <v>15659.400000000003</v>
      </c>
      <c r="D9" s="5">
        <f t="shared" si="1"/>
        <v>20300.900000000001</v>
      </c>
      <c r="E9" s="5">
        <f t="shared" si="1"/>
        <v>19943.7</v>
      </c>
      <c r="F9" s="4" t="str">
        <f t="shared" ca="1" si="0"/>
        <v>&lt;--=SUM(E4:E8)</v>
      </c>
    </row>
    <row r="10" spans="1:6" x14ac:dyDescent="0.35">
      <c r="A10" t="s">
        <v>72</v>
      </c>
      <c r="B10" s="16">
        <f>B9/B3</f>
        <v>0.6944958444409598</v>
      </c>
      <c r="C10" s="16">
        <f>C9/C3</f>
        <v>0.63812256008606438</v>
      </c>
      <c r="D10" s="16">
        <f>D9/D3</f>
        <v>0.71688019097124134</v>
      </c>
      <c r="E10" s="16">
        <f>E9/E3</f>
        <v>0.69876390085980367</v>
      </c>
      <c r="F10" t="str">
        <f t="shared" ca="1" si="0"/>
        <v>&lt;--=E9/E3</v>
      </c>
    </row>
    <row r="12" spans="1:6" x14ac:dyDescent="0.35">
      <c r="A12" t="s">
        <v>70</v>
      </c>
      <c r="B12" s="2">
        <f>INTERCEPT(B9:E9,B3:E3)</f>
        <v>-3698.6442882124466</v>
      </c>
      <c r="C12" t="str">
        <f ca="1">"&lt;--"&amp;_xlfn.FORMULATEXT(B12)</f>
        <v>&lt;--=INTERCEPT(B9:E9,B3:E3)</v>
      </c>
    </row>
    <row r="13" spans="1:6" x14ac:dyDescent="0.35">
      <c r="A13" t="s">
        <v>71</v>
      </c>
      <c r="B13" s="8">
        <f>SLOPE(B9:E9,B3:E3)</f>
        <v>0.83108489326314816</v>
      </c>
      <c r="C13" t="str">
        <f ca="1">"&lt;--"&amp;_xlfn.FORMULATEXT(B13)</f>
        <v>&lt;--=SLOPE(B9:E9,B3:E3)</v>
      </c>
    </row>
  </sheetData>
  <mergeCells count="1">
    <mergeCell ref="A1:F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4464C-76C2-426E-BDAE-35439D04BF2A}">
  <sheetPr codeName="Sheet7"/>
  <dimension ref="A1:F14"/>
  <sheetViews>
    <sheetView zoomScale="61" workbookViewId="0">
      <selection activeCell="M15" sqref="M15"/>
    </sheetView>
  </sheetViews>
  <sheetFormatPr defaultRowHeight="14.5" x14ac:dyDescent="0.35"/>
  <cols>
    <col min="1" max="1" width="39.26953125" customWidth="1"/>
  </cols>
  <sheetData>
    <row r="1" spans="1:6" ht="18.5" x14ac:dyDescent="0.45">
      <c r="A1" s="90" t="s">
        <v>225</v>
      </c>
      <c r="B1" s="90"/>
      <c r="C1" s="90"/>
      <c r="D1" s="90"/>
      <c r="E1" s="90"/>
      <c r="F1" s="90"/>
    </row>
    <row r="2" spans="1:6" x14ac:dyDescent="0.35">
      <c r="B2" s="9">
        <v>2019</v>
      </c>
      <c r="C2" s="9">
        <v>2020</v>
      </c>
      <c r="D2" s="9">
        <v>2021</v>
      </c>
      <c r="E2" s="9">
        <v>2022</v>
      </c>
    </row>
    <row r="3" spans="1:6" x14ac:dyDescent="0.35">
      <c r="A3" t="str">
        <f>'LLY Balance Sheet'!A12&amp;" (PP&amp;E)"</f>
        <v>Property, plant and equipment (at cost) (PP&amp;E)</v>
      </c>
      <c r="B3" s="2">
        <f>'LLY Balance Sheet'!B12</f>
        <v>17034.5</v>
      </c>
      <c r="C3" s="2">
        <f>'LLY Balance Sheet'!C12</f>
        <v>18252.599999999999</v>
      </c>
      <c r="D3" s="2">
        <f>'LLY Balance Sheet'!D12</f>
        <v>18961.8</v>
      </c>
      <c r="E3" s="2">
        <f>'LLY Balance Sheet'!E12</f>
        <v>20377.400000000001</v>
      </c>
    </row>
    <row r="4" spans="1:6" x14ac:dyDescent="0.35">
      <c r="A4" t="str">
        <f>'LLY Balance Sheet'!A13</f>
        <v>Less accumulated depreciation</v>
      </c>
      <c r="B4" s="2">
        <f>'LLY Balance Sheet'!B13</f>
        <v>9161.6</v>
      </c>
      <c r="C4" s="2">
        <f>'LLY Balance Sheet'!C13</f>
        <v>9570.7000000000007</v>
      </c>
      <c r="D4" s="2">
        <f>'LLY Balance Sheet'!D13</f>
        <v>9976.7000000000007</v>
      </c>
      <c r="E4" s="2">
        <f>'LLY Balance Sheet'!E13</f>
        <v>10233.4</v>
      </c>
    </row>
    <row r="5" spans="1:6" x14ac:dyDescent="0.35">
      <c r="A5" s="4" t="str">
        <f>'LLY Balance Sheet'!A14</f>
        <v>Net PP&amp;E</v>
      </c>
      <c r="B5" s="5">
        <f>'LLY Balance Sheet'!B14</f>
        <v>7872.9</v>
      </c>
      <c r="C5" s="5">
        <f>'LLY Balance Sheet'!C14</f>
        <v>8681.8999999999978</v>
      </c>
      <c r="D5" s="5">
        <f>'LLY Balance Sheet'!D14</f>
        <v>8985.0999999999985</v>
      </c>
      <c r="E5" s="5">
        <f>'LLY Balance Sheet'!E14</f>
        <v>10144.000000000002</v>
      </c>
    </row>
    <row r="6" spans="1:6" x14ac:dyDescent="0.35">
      <c r="B6" s="2"/>
      <c r="C6" s="2"/>
      <c r="D6" s="2"/>
      <c r="E6" s="2"/>
    </row>
    <row r="7" spans="1:6" x14ac:dyDescent="0.35">
      <c r="A7" t="str">
        <f>'Operating costs analysis'!A3</f>
        <v>Sales</v>
      </c>
      <c r="B7" s="2">
        <f>'Operating costs analysis'!B3</f>
        <v>22319.5</v>
      </c>
      <c r="C7" s="2">
        <f>'Operating costs analysis'!C3</f>
        <v>24539.8</v>
      </c>
      <c r="D7" s="2">
        <f>'Operating costs analysis'!D3</f>
        <v>28318.400000000001</v>
      </c>
      <c r="E7" s="2">
        <f>'Operating costs analysis'!E3</f>
        <v>28541.4</v>
      </c>
    </row>
    <row r="9" spans="1:6" x14ac:dyDescent="0.35">
      <c r="A9" t="s">
        <v>74</v>
      </c>
      <c r="B9" s="16">
        <f>B3/B7</f>
        <v>0.76321154147718362</v>
      </c>
      <c r="C9" s="16">
        <f t="shared" ref="C9:E9" si="0">C3/C7</f>
        <v>0.7437957929567478</v>
      </c>
      <c r="D9" s="16">
        <f t="shared" si="0"/>
        <v>0.66959291485394645</v>
      </c>
      <c r="E9" s="16">
        <f t="shared" si="0"/>
        <v>0.71395937129923548</v>
      </c>
      <c r="F9" t="str">
        <f ca="1">"&lt;--"&amp;_xlfn.FORMULATEXT(E9)</f>
        <v>&lt;--=E3/E7</v>
      </c>
    </row>
    <row r="10" spans="1:6" x14ac:dyDescent="0.35">
      <c r="A10" t="s">
        <v>73</v>
      </c>
      <c r="B10" s="16">
        <f>B5/B7</f>
        <v>0.3527363964246511</v>
      </c>
      <c r="C10" s="16">
        <f t="shared" ref="C10:E10" si="1">C5/C7</f>
        <v>0.35378853943389915</v>
      </c>
      <c r="D10" s="16">
        <f t="shared" si="1"/>
        <v>0.31728840612463977</v>
      </c>
      <c r="E10" s="16">
        <f t="shared" si="1"/>
        <v>0.35541353963015132</v>
      </c>
      <c r="F10" t="str">
        <f ca="1">"&lt;--"&amp;_xlfn.FORMULATEXT(E10)</f>
        <v>&lt;--=E5/E7</v>
      </c>
    </row>
    <row r="12" spans="1:6" x14ac:dyDescent="0.35">
      <c r="A12" t="s">
        <v>75</v>
      </c>
    </row>
    <row r="13" spans="1:6" x14ac:dyDescent="0.35">
      <c r="A13" t="s">
        <v>74</v>
      </c>
      <c r="B13" s="16">
        <f>AVERAGE(B9:E9)</f>
        <v>0.72263990514677834</v>
      </c>
      <c r="C13" t="str">
        <f ca="1">"&lt;--"&amp;_xlfn.FORMULATEXT(B13)</f>
        <v>&lt;--=AVERAGE(B9:E9)</v>
      </c>
    </row>
    <row r="14" spans="1:6" x14ac:dyDescent="0.35">
      <c r="A14" s="14" t="s">
        <v>73</v>
      </c>
      <c r="B14" s="18">
        <f>AVERAGE(B10:E10)</f>
        <v>0.34480672040333538</v>
      </c>
      <c r="C14" t="str">
        <f ca="1">"&lt;--"&amp;_xlfn.FORMULATEXT(B14)</f>
        <v>&lt;--=AVERAGE(B10:E10)</v>
      </c>
    </row>
  </sheetData>
  <mergeCells count="1">
    <mergeCell ref="A1:F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7F4A5-7D5F-45F1-8F97-BBB0725776E8}">
  <sheetPr codeName="Sheet6"/>
  <dimension ref="A1:I19"/>
  <sheetViews>
    <sheetView zoomScale="61" workbookViewId="0">
      <selection activeCell="N38" sqref="N38"/>
    </sheetView>
  </sheetViews>
  <sheetFormatPr defaultRowHeight="14.5" x14ac:dyDescent="0.35"/>
  <cols>
    <col min="1" max="1" width="30.08984375" bestFit="1" customWidth="1"/>
    <col min="6" max="6" width="15.6328125" bestFit="1" customWidth="1"/>
  </cols>
  <sheetData>
    <row r="1" spans="1:9" ht="18.5" x14ac:dyDescent="0.45">
      <c r="A1" s="90" t="s">
        <v>224</v>
      </c>
      <c r="B1" s="90"/>
      <c r="C1" s="90"/>
      <c r="D1" s="90"/>
      <c r="E1" s="90"/>
      <c r="F1" s="90"/>
    </row>
    <row r="2" spans="1:9" x14ac:dyDescent="0.35">
      <c r="A2" s="9"/>
      <c r="B2" s="9">
        <v>2019</v>
      </c>
      <c r="C2" s="9">
        <v>2020</v>
      </c>
      <c r="D2" s="9">
        <v>2021</v>
      </c>
      <c r="E2" s="9">
        <v>2022</v>
      </c>
    </row>
    <row r="3" spans="1:9" x14ac:dyDescent="0.35">
      <c r="A3" t="str">
        <f>'LLY Income Statement'!A3</f>
        <v>Sales</v>
      </c>
      <c r="B3" s="2">
        <f>'LLY Income Statement'!B3</f>
        <v>22319.5</v>
      </c>
      <c r="C3" s="2">
        <f>'LLY Income Statement'!C3</f>
        <v>24539.8</v>
      </c>
      <c r="D3" s="2">
        <f>'LLY Income Statement'!D3</f>
        <v>28318.400000000001</v>
      </c>
      <c r="E3" s="2">
        <f>'LLY Income Statement'!E3</f>
        <v>28541.4</v>
      </c>
    </row>
    <row r="4" spans="1:9" x14ac:dyDescent="0.35">
      <c r="A4" s="9"/>
      <c r="B4" s="9"/>
      <c r="C4" s="9"/>
      <c r="D4" s="9"/>
      <c r="E4" s="9"/>
    </row>
    <row r="5" spans="1:9" x14ac:dyDescent="0.35">
      <c r="A5" s="4" t="s">
        <v>61</v>
      </c>
    </row>
    <row r="6" spans="1:9" x14ac:dyDescent="0.35">
      <c r="A6" s="2" t="str">
        <f>'LLY Balance Sheet'!A7</f>
        <v>Accounts receivable</v>
      </c>
      <c r="B6" s="2">
        <f>'LLY Balance Sheet'!B7</f>
        <v>5523.1</v>
      </c>
      <c r="C6" s="2">
        <f>'LLY Balance Sheet'!C7</f>
        <v>6887.9</v>
      </c>
      <c r="D6" s="2">
        <f>'LLY Balance Sheet'!D7</f>
        <v>8112.5</v>
      </c>
      <c r="E6" s="2">
        <f>'LLY Balance Sheet'!E7</f>
        <v>8301.7999999999993</v>
      </c>
    </row>
    <row r="7" spans="1:9" x14ac:dyDescent="0.35">
      <c r="A7" s="2" t="str">
        <f>+'LLY Balance Sheet'!A8</f>
        <v>Inventories</v>
      </c>
      <c r="B7" s="2">
        <f>+'LLY Balance Sheet'!B8</f>
        <v>3190.7</v>
      </c>
      <c r="C7" s="2">
        <f>+'LLY Balance Sheet'!C8</f>
        <v>3980.3</v>
      </c>
      <c r="D7" s="2">
        <f>+'LLY Balance Sheet'!D8</f>
        <v>3886</v>
      </c>
      <c r="E7" s="2">
        <f>+'LLY Balance Sheet'!E8</f>
        <v>4309.7</v>
      </c>
      <c r="I7" s="2"/>
    </row>
    <row r="8" spans="1:9" x14ac:dyDescent="0.35">
      <c r="A8" s="2" t="str">
        <f>+'LLY Balance Sheet'!A9</f>
        <v>Other current assets</v>
      </c>
      <c r="B8" s="2">
        <f>+'LLY Balance Sheet'!B9</f>
        <v>2557.3000000000002</v>
      </c>
      <c r="C8" s="2">
        <f>+'LLY Balance Sheet'!C9</f>
        <v>2912.6</v>
      </c>
      <c r="D8" s="2">
        <f>+'LLY Balance Sheet'!D9</f>
        <v>2540.5</v>
      </c>
      <c r="E8" s="2">
        <f>+'LLY Balance Sheet'!E9</f>
        <v>2980.7</v>
      </c>
    </row>
    <row r="9" spans="1:9" x14ac:dyDescent="0.35">
      <c r="A9" s="5" t="s">
        <v>62</v>
      </c>
      <c r="B9" s="5">
        <f>SUM(B6:B8)</f>
        <v>11271.099999999999</v>
      </c>
      <c r="C9" s="5">
        <f t="shared" ref="C9:E9" si="0">SUM(C6:C8)</f>
        <v>13780.800000000001</v>
      </c>
      <c r="D9" s="5">
        <f t="shared" si="0"/>
        <v>14539</v>
      </c>
      <c r="E9" s="5">
        <f t="shared" si="0"/>
        <v>15592.2</v>
      </c>
      <c r="F9" s="4" t="str">
        <f ca="1">"&lt;--"&amp;_xlfn.FORMULATEXT(E9)</f>
        <v>&lt;--=SUM(E6:E8)</v>
      </c>
    </row>
    <row r="10" spans="1:9" x14ac:dyDescent="0.35">
      <c r="A10" t="s">
        <v>66</v>
      </c>
      <c r="B10" s="13">
        <f>B9/B3</f>
        <v>0.5049889110419139</v>
      </c>
      <c r="C10" s="13">
        <f t="shared" ref="C10:E10" si="1">C9/C3</f>
        <v>0.56156936894351228</v>
      </c>
      <c r="D10" s="13">
        <f t="shared" si="1"/>
        <v>0.51341177467653543</v>
      </c>
      <c r="E10" s="13">
        <f t="shared" si="1"/>
        <v>0.54630116252181038</v>
      </c>
      <c r="F10" t="str">
        <f ca="1">"&lt;--"&amp;_xlfn.FORMULATEXT(E10)</f>
        <v>&lt;--=E9/E3</v>
      </c>
    </row>
    <row r="12" spans="1:9" x14ac:dyDescent="0.35">
      <c r="A12" s="4" t="s">
        <v>63</v>
      </c>
    </row>
    <row r="13" spans="1:9" x14ac:dyDescent="0.35">
      <c r="A13" s="2" t="str">
        <f>'LLY Balance Sheet'!A23</f>
        <v>Trade accounts payable</v>
      </c>
      <c r="B13" s="2">
        <f>'LLY Balance Sheet'!B23</f>
        <v>1405.3</v>
      </c>
      <c r="C13" s="2">
        <f>'LLY Balance Sheet'!C23</f>
        <v>1606.7</v>
      </c>
      <c r="D13" s="2">
        <f>'LLY Balance Sheet'!D23</f>
        <v>1670.6</v>
      </c>
      <c r="E13" s="2">
        <f>'LLY Balance Sheet'!E23</f>
        <v>1930.6</v>
      </c>
    </row>
    <row r="14" spans="1:9" x14ac:dyDescent="0.35">
      <c r="A14" s="2" t="str">
        <f>'LLY Balance Sheet'!A25</f>
        <v>Income taxes payable</v>
      </c>
      <c r="B14" s="2">
        <f>'LLY Balance Sheet'!B25</f>
        <v>160.6</v>
      </c>
      <c r="C14" s="2">
        <f>'LLY Balance Sheet'!C25</f>
        <v>495.1</v>
      </c>
      <c r="D14" s="2">
        <f>'LLY Balance Sheet'!D25</f>
        <v>126.9</v>
      </c>
      <c r="E14" s="2">
        <f>'LLY Balance Sheet'!E25</f>
        <v>475.1</v>
      </c>
    </row>
    <row r="15" spans="1:9" x14ac:dyDescent="0.35">
      <c r="A15" s="4" t="s">
        <v>64</v>
      </c>
      <c r="B15" s="5">
        <f>SUM(B13:B14)</f>
        <v>1565.8999999999999</v>
      </c>
      <c r="C15" s="5">
        <f t="shared" ref="C15:E15" si="2">SUM(C13:C14)</f>
        <v>2101.8000000000002</v>
      </c>
      <c r="D15" s="5">
        <f t="shared" si="2"/>
        <v>1797.5</v>
      </c>
      <c r="E15" s="5">
        <f t="shared" si="2"/>
        <v>2405.6999999999998</v>
      </c>
      <c r="F15" s="4" t="str">
        <f ca="1">"&lt;--"&amp;_xlfn.FORMULATEXT(E15)</f>
        <v>&lt;--=SUM(E13:E14)</v>
      </c>
    </row>
    <row r="16" spans="1:9" x14ac:dyDescent="0.35">
      <c r="A16" t="s">
        <v>67</v>
      </c>
      <c r="B16" s="13">
        <f>B15/B3</f>
        <v>7.0158381684177512E-2</v>
      </c>
      <c r="C16" s="13">
        <f t="shared" ref="C16:E16" si="3">C15/C3</f>
        <v>8.5648619793152359E-2</v>
      </c>
      <c r="D16" s="13">
        <f t="shared" si="3"/>
        <v>6.3474631335103671E-2</v>
      </c>
      <c r="E16" s="13">
        <f t="shared" si="3"/>
        <v>8.4288086779204935E-2</v>
      </c>
      <c r="F16" t="str">
        <f ca="1">"&lt;--"&amp;_xlfn.FORMULATEXT(E16)</f>
        <v>&lt;--=E15/E3</v>
      </c>
    </row>
    <row r="18" spans="1:6" x14ac:dyDescent="0.35">
      <c r="A18" s="4" t="s">
        <v>65</v>
      </c>
      <c r="B18" s="5">
        <f>B9-B15</f>
        <v>9705.1999999999989</v>
      </c>
      <c r="C18" s="5">
        <f t="shared" ref="C18:E18" si="4">C9-C15</f>
        <v>11679</v>
      </c>
      <c r="D18" s="5">
        <f t="shared" si="4"/>
        <v>12741.5</v>
      </c>
      <c r="E18" s="5">
        <f t="shared" si="4"/>
        <v>13186.5</v>
      </c>
      <c r="F18" s="4" t="str">
        <f ca="1">"&lt;--"&amp;_xlfn.FORMULATEXT(E18)</f>
        <v>&lt;--=E9-E15</v>
      </c>
    </row>
    <row r="19" spans="1:6" x14ac:dyDescent="0.35">
      <c r="A19" t="s">
        <v>68</v>
      </c>
      <c r="B19" s="13">
        <f>B18/B3</f>
        <v>0.43483052935773647</v>
      </c>
      <c r="C19" s="13">
        <f t="shared" ref="C19:E19" si="5">C18/C3</f>
        <v>0.47592074915035981</v>
      </c>
      <c r="D19" s="13">
        <f t="shared" si="5"/>
        <v>0.4499371433414317</v>
      </c>
      <c r="E19" s="13">
        <f t="shared" si="5"/>
        <v>0.46201307574260547</v>
      </c>
      <c r="F19" t="str">
        <f ca="1">"&lt;--"&amp;_xlfn.FORMULATEXT(E19)</f>
        <v>&lt;--=E18/E3</v>
      </c>
    </row>
  </sheetData>
  <mergeCells count="1">
    <mergeCell ref="A1:F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B7314-F39F-4DB0-8A08-D892C89EE829}">
  <sheetPr codeName="Sheet8"/>
  <dimension ref="A1:F13"/>
  <sheetViews>
    <sheetView zoomScale="70" zoomScaleNormal="70" workbookViewId="0">
      <selection activeCell="B10" sqref="B10"/>
    </sheetView>
  </sheetViews>
  <sheetFormatPr defaultRowHeight="14.5" x14ac:dyDescent="0.35"/>
  <cols>
    <col min="1" max="1" width="37.81640625" bestFit="1" customWidth="1"/>
  </cols>
  <sheetData>
    <row r="1" spans="1:6" ht="18.5" x14ac:dyDescent="0.45">
      <c r="A1" s="90" t="s">
        <v>226</v>
      </c>
      <c r="B1" s="90"/>
      <c r="C1" s="90"/>
      <c r="D1" s="90"/>
      <c r="E1" s="90"/>
      <c r="F1" s="90"/>
    </row>
    <row r="2" spans="1:6" x14ac:dyDescent="0.35">
      <c r="B2" s="4">
        <f>'LLY Balance Sheet'!B2</f>
        <v>2019</v>
      </c>
      <c r="C2" s="4">
        <f>'LLY Balance Sheet'!C2</f>
        <v>2020</v>
      </c>
      <c r="D2" s="4">
        <f>'LLY Balance Sheet'!D2</f>
        <v>2021</v>
      </c>
      <c r="E2" s="4">
        <f>'LLY Balance Sheet'!E2</f>
        <v>2022</v>
      </c>
    </row>
    <row r="3" spans="1:6" x14ac:dyDescent="0.35">
      <c r="A3" t="str">
        <f>'Fixed asset analysis'!A3</f>
        <v>Property, plant and equipment (at cost) (PP&amp;E)</v>
      </c>
      <c r="B3" s="2">
        <f>'LLY Balance Sheet'!B12</f>
        <v>17034.5</v>
      </c>
      <c r="C3" s="2">
        <f>'LLY Balance Sheet'!C12</f>
        <v>18252.599999999999</v>
      </c>
      <c r="D3" s="2">
        <f>'LLY Balance Sheet'!D12</f>
        <v>18961.8</v>
      </c>
      <c r="E3" s="2">
        <f>'LLY Balance Sheet'!E12</f>
        <v>20377.400000000001</v>
      </c>
    </row>
    <row r="4" spans="1:6" x14ac:dyDescent="0.35">
      <c r="A4" t="str">
        <f>'LLY Balance Sheet'!A13</f>
        <v>Less accumulated depreciation</v>
      </c>
      <c r="B4" s="2">
        <f>'LLY Balance Sheet'!B13</f>
        <v>9161.6</v>
      </c>
      <c r="C4" s="2">
        <f>'LLY Balance Sheet'!C13</f>
        <v>9570.7000000000007</v>
      </c>
      <c r="D4" s="2">
        <f>'LLY Balance Sheet'!D13</f>
        <v>9976.7000000000007</v>
      </c>
      <c r="E4" s="2">
        <f>'LLY Balance Sheet'!E13</f>
        <v>10233.4</v>
      </c>
    </row>
    <row r="5" spans="1:6" x14ac:dyDescent="0.35">
      <c r="A5" t="str">
        <f>'LLY Balance Sheet'!A14</f>
        <v>Net PP&amp;E</v>
      </c>
      <c r="B5" s="2">
        <f>'LLY Balance Sheet'!B14</f>
        <v>7872.9</v>
      </c>
      <c r="C5" s="2">
        <f>'LLY Balance Sheet'!C14</f>
        <v>8681.8999999999978</v>
      </c>
      <c r="D5" s="2">
        <f>'LLY Balance Sheet'!D14</f>
        <v>8985.0999999999985</v>
      </c>
      <c r="E5" s="2">
        <f>'LLY Balance Sheet'!E14</f>
        <v>10144.000000000002</v>
      </c>
    </row>
    <row r="7" spans="1:6" x14ac:dyDescent="0.35">
      <c r="A7" t="s">
        <v>76</v>
      </c>
      <c r="B7" s="2">
        <f>'LLY Cash-flows'!B6</f>
        <v>1232.5999999999999</v>
      </c>
      <c r="C7" s="2">
        <f>'LLY Cash-flows'!C6</f>
        <v>1323.9</v>
      </c>
      <c r="D7" s="2">
        <f>'LLY Cash-flows'!D6</f>
        <v>1547.6</v>
      </c>
      <c r="E7" s="2">
        <f>'LLY Cash-flows'!E6</f>
        <v>1522.5</v>
      </c>
    </row>
    <row r="8" spans="1:6" x14ac:dyDescent="0.35">
      <c r="A8" t="s">
        <v>77</v>
      </c>
      <c r="B8" s="8">
        <f>B3/B7</f>
        <v>13.819974038617557</v>
      </c>
      <c r="C8" s="8">
        <f t="shared" ref="C8:E8" si="0">C3/C7</f>
        <v>13.786992975300247</v>
      </c>
      <c r="D8" s="8">
        <f t="shared" si="0"/>
        <v>12.252390798655984</v>
      </c>
      <c r="E8" s="8">
        <f t="shared" si="0"/>
        <v>13.384170771756979</v>
      </c>
      <c r="F8" t="str">
        <f ca="1">"&lt;--"&amp;_xlfn.FORMULATEXT(E8)</f>
        <v>&lt;--=E3/E7</v>
      </c>
    </row>
    <row r="10" spans="1:6" x14ac:dyDescent="0.35">
      <c r="A10" s="14" t="s">
        <v>78</v>
      </c>
      <c r="B10" s="19">
        <f>ROUND(AVERAGE(B8:E8),0)</f>
        <v>13</v>
      </c>
      <c r="C10" t="str">
        <f ca="1">"&lt;--"&amp;_xlfn.FORMULATEXT(B10)</f>
        <v>&lt;--=ROUND(AVERAGE(B8:E8),0)</v>
      </c>
    </row>
    <row r="12" spans="1:6" x14ac:dyDescent="0.35">
      <c r="A12" t="str">
        <f>'LLY Income Statement'!A3</f>
        <v>Sales</v>
      </c>
      <c r="B12" s="2">
        <f>'LLY Income Statement'!B3</f>
        <v>22319.5</v>
      </c>
      <c r="C12" s="2">
        <f>'LLY Income Statement'!C3</f>
        <v>24539.8</v>
      </c>
      <c r="D12" s="2">
        <f>'LLY Income Statement'!D3</f>
        <v>28318.400000000001</v>
      </c>
      <c r="E12" s="2">
        <f>'LLY Income Statement'!E3</f>
        <v>28541.4</v>
      </c>
    </row>
    <row r="13" spans="1:6" x14ac:dyDescent="0.35">
      <c r="A13" t="s">
        <v>240</v>
      </c>
      <c r="B13" s="82">
        <f>B4/B12</f>
        <v>0.41047514505253258</v>
      </c>
      <c r="C13" s="82">
        <f t="shared" ref="C13:E13" si="1">C4/C12</f>
        <v>0.39000725352284865</v>
      </c>
      <c r="D13" s="82">
        <f t="shared" si="1"/>
        <v>0.35230450872930674</v>
      </c>
      <c r="E13" s="82">
        <f t="shared" si="1"/>
        <v>0.35854583166908416</v>
      </c>
    </row>
  </sheetData>
  <mergeCells count="1">
    <mergeCell ref="A1:F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0EC8A-ED38-4606-BC1D-BEDBE6B70D73}">
  <sheetPr codeName="Sheet9"/>
  <dimension ref="A1:G9"/>
  <sheetViews>
    <sheetView zoomScale="82" workbookViewId="0">
      <selection activeCell="H8" sqref="H8"/>
    </sheetView>
  </sheetViews>
  <sheetFormatPr defaultRowHeight="14.5" x14ac:dyDescent="0.35"/>
  <cols>
    <col min="1" max="1" width="47.6328125" customWidth="1"/>
    <col min="2" max="2" width="6.81640625" bestFit="1" customWidth="1"/>
    <col min="3" max="3" width="7.90625" customWidth="1"/>
    <col min="4" max="4" width="7.453125" customWidth="1"/>
    <col min="5" max="5" width="7.26953125" customWidth="1"/>
  </cols>
  <sheetData>
    <row r="1" spans="1:7" ht="18.5" x14ac:dyDescent="0.45">
      <c r="A1" s="90" t="s">
        <v>227</v>
      </c>
      <c r="B1" s="90"/>
      <c r="C1" s="90"/>
      <c r="D1" s="90"/>
      <c r="E1" s="90"/>
    </row>
    <row r="2" spans="1:7" x14ac:dyDescent="0.35">
      <c r="B2" s="4">
        <f>'LLY Balance Sheet'!B2</f>
        <v>2019</v>
      </c>
      <c r="C2" s="4">
        <f>'LLY Balance Sheet'!C2</f>
        <v>2020</v>
      </c>
      <c r="D2" s="4">
        <f>'LLY Balance Sheet'!D2</f>
        <v>2021</v>
      </c>
      <c r="E2" s="4">
        <f>'LLY Balance Sheet'!E2</f>
        <v>2022</v>
      </c>
    </row>
    <row r="3" spans="1:7" x14ac:dyDescent="0.35">
      <c r="A3" t="str">
        <f>'LLY Income Statement'!A18</f>
        <v>Net income attributable to Eli Lilly &amp; Co. shareholders</v>
      </c>
      <c r="B3" s="2">
        <f>'LLY Income Statement'!B18</f>
        <v>4637.8999999999996</v>
      </c>
      <c r="C3" s="2">
        <f>'LLY Income Statement'!C18</f>
        <v>6193.699999999998</v>
      </c>
      <c r="D3" s="2">
        <f>'LLY Income Statement'!D18</f>
        <v>5581.7000000000053</v>
      </c>
      <c r="E3" s="2">
        <f>'LLY Income Statement'!E18</f>
        <v>6244.8000000000011</v>
      </c>
    </row>
    <row r="4" spans="1:7" x14ac:dyDescent="0.35">
      <c r="A4" s="2" t="str">
        <f>'LLY Cash-flows'!A31</f>
        <v>Dividends paid to stockholders</v>
      </c>
      <c r="B4" s="2">
        <f>-'LLY Cash-flows'!B31</f>
        <v>2409.8000000000002</v>
      </c>
      <c r="C4" s="2">
        <f>-'LLY Cash-flows'!C31</f>
        <v>2687.1</v>
      </c>
      <c r="D4" s="2">
        <f>-'LLY Cash-flows'!D31</f>
        <v>3086.8</v>
      </c>
      <c r="E4" s="2">
        <f>-'LLY Cash-flows'!E31</f>
        <v>3535.8</v>
      </c>
    </row>
    <row r="5" spans="1:7" x14ac:dyDescent="0.35">
      <c r="A5" t="s">
        <v>79</v>
      </c>
      <c r="C5" s="13">
        <f>C4/B4-1</f>
        <v>0.11507179019005709</v>
      </c>
      <c r="D5" s="13">
        <f t="shared" ref="D5:E5" si="0">D4/C4-1</f>
        <v>0.14874772059097174</v>
      </c>
      <c r="E5" s="13">
        <f t="shared" si="0"/>
        <v>0.14545807956459766</v>
      </c>
    </row>
    <row r="6" spans="1:7" x14ac:dyDescent="0.35">
      <c r="B6" s="17"/>
      <c r="C6" s="17"/>
      <c r="D6" s="17"/>
      <c r="E6" s="17"/>
    </row>
    <row r="7" spans="1:7" x14ac:dyDescent="0.35">
      <c r="A7" s="14" t="s">
        <v>80</v>
      </c>
      <c r="B7" s="15">
        <f>(E4/B4)^(1/3)-1</f>
        <v>0.13632413366127594</v>
      </c>
      <c r="C7" t="str">
        <f ca="1">"&lt;--"&amp;_xlfn.FORMULATEXT(B7)</f>
        <v>&lt;--=(E4/B4)^(1/3)-1</v>
      </c>
    </row>
    <row r="8" spans="1:7" x14ac:dyDescent="0.35">
      <c r="G8" s="13"/>
    </row>
    <row r="9" spans="1:7" x14ac:dyDescent="0.35">
      <c r="A9" t="s">
        <v>241</v>
      </c>
      <c r="B9" s="82">
        <f>B4/B3</f>
        <v>0.51958860691261144</v>
      </c>
      <c r="C9" s="82">
        <f t="shared" ref="C9:E9" si="1">C4/C3</f>
        <v>0.4338440673587679</v>
      </c>
      <c r="D9" s="82">
        <f t="shared" si="1"/>
        <v>0.55302148091083314</v>
      </c>
      <c r="E9" s="82">
        <f t="shared" si="1"/>
        <v>0.56619907763259025</v>
      </c>
    </row>
  </sheetData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FA5E-9746-4F17-BC62-B96E2CDBBE52}">
  <sheetPr codeName="Sheet10"/>
  <dimension ref="A1:F13"/>
  <sheetViews>
    <sheetView zoomScale="77" workbookViewId="0">
      <selection activeCell="J14" sqref="J14"/>
    </sheetView>
  </sheetViews>
  <sheetFormatPr defaultRowHeight="14.5" x14ac:dyDescent="0.35"/>
  <cols>
    <col min="1" max="1" width="43.81640625" bestFit="1" customWidth="1"/>
    <col min="2" max="5" width="8" customWidth="1"/>
    <col min="6" max="6" width="13.6328125" bestFit="1" customWidth="1"/>
  </cols>
  <sheetData>
    <row r="1" spans="1:6" ht="18.5" x14ac:dyDescent="0.45">
      <c r="A1" s="90" t="s">
        <v>228</v>
      </c>
      <c r="B1" s="90"/>
      <c r="C1" s="90"/>
      <c r="D1" s="90"/>
      <c r="E1" s="90"/>
      <c r="F1" s="90"/>
    </row>
    <row r="2" spans="1:6" x14ac:dyDescent="0.35">
      <c r="B2" s="4">
        <f>'LLY Balance Sheet'!B2</f>
        <v>2019</v>
      </c>
      <c r="C2" s="4">
        <f>'LLY Balance Sheet'!C2</f>
        <v>2020</v>
      </c>
      <c r="D2" s="4">
        <f>'LLY Balance Sheet'!D2</f>
        <v>2021</v>
      </c>
      <c r="E2" s="4">
        <f>'LLY Balance Sheet'!E2</f>
        <v>2022</v>
      </c>
    </row>
    <row r="3" spans="1:6" x14ac:dyDescent="0.35">
      <c r="A3" s="4" t="s">
        <v>81</v>
      </c>
    </row>
    <row r="4" spans="1:6" x14ac:dyDescent="0.35">
      <c r="A4" s="2" t="str">
        <f>'LLY Balance Sheet'!A22</f>
        <v>Loans payable and current portion of long-term debt</v>
      </c>
      <c r="B4" s="2">
        <f>'LLY Balance Sheet'!B22</f>
        <v>26.5</v>
      </c>
      <c r="C4" s="2">
        <f>'LLY Balance Sheet'!C22</f>
        <v>101.3</v>
      </c>
      <c r="D4" s="2">
        <f>'LLY Balance Sheet'!D22</f>
        <v>1539.5</v>
      </c>
      <c r="E4" s="2">
        <f>'LLY Balance Sheet'!E22</f>
        <v>1693.6000000000001</v>
      </c>
    </row>
    <row r="5" spans="1:6" x14ac:dyDescent="0.35">
      <c r="A5" s="2" t="str">
        <f>'LLY Balance Sheet'!A24</f>
        <v>Accrued and other current liabilities</v>
      </c>
      <c r="B5" s="2">
        <f>'LLY Balance Sheet'!B24</f>
        <v>8688.6</v>
      </c>
      <c r="C5" s="2">
        <f>'LLY Balance Sheet'!C24</f>
        <v>10278.5</v>
      </c>
      <c r="D5" s="2">
        <f>'LLY Balance Sheet'!D24</f>
        <v>11715.7</v>
      </c>
      <c r="E5" s="2">
        <f>'LLY Balance Sheet'!E24</f>
        <v>13038.900000000001</v>
      </c>
    </row>
    <row r="6" spans="1:6" x14ac:dyDescent="0.35">
      <c r="A6" s="2" t="str">
        <f>'LLY Balance Sheet'!A28</f>
        <v>Long-term debt</v>
      </c>
      <c r="B6" s="2">
        <f>'LLY Balance Sheet'!B28</f>
        <v>13843.7</v>
      </c>
      <c r="C6" s="2">
        <f>'LLY Balance Sheet'!C28</f>
        <v>16784.5</v>
      </c>
      <c r="D6" s="2">
        <f>'LLY Balance Sheet'!D28</f>
        <v>15387</v>
      </c>
      <c r="E6" s="2">
        <f>'LLY Balance Sheet'!E28</f>
        <v>15445.8</v>
      </c>
    </row>
    <row r="7" spans="1:6" x14ac:dyDescent="0.35">
      <c r="A7" s="2" t="str">
        <f>'LLY Balance Sheet'!A29</f>
        <v>Deferred income taxes</v>
      </c>
      <c r="B7" s="2">
        <f>'LLY Balance Sheet'!B29</f>
        <v>2187.5</v>
      </c>
      <c r="C7" s="2">
        <f>'LLY Balance Sheet'!C29</f>
        <v>2099.9</v>
      </c>
      <c r="D7" s="2">
        <f>'LLY Balance Sheet'!D29</f>
        <v>1733.7</v>
      </c>
      <c r="E7" s="2">
        <f>'LLY Balance Sheet'!E29</f>
        <v>87.3</v>
      </c>
    </row>
    <row r="8" spans="1:6" x14ac:dyDescent="0.35">
      <c r="A8" s="2" t="str">
        <f>'LLY Balance Sheet'!A30</f>
        <v>Other noncurrent liabilities</v>
      </c>
      <c r="B8" s="2">
        <f>'LLY Balance Sheet'!B30</f>
        <v>8780.5999999999985</v>
      </c>
      <c r="C8" s="2">
        <f>'LLY Balance Sheet'!C30</f>
        <v>9441.9</v>
      </c>
      <c r="D8" s="2">
        <f>'LLY Balance Sheet'!D30</f>
        <v>7477.7999999999993</v>
      </c>
      <c r="E8" s="2">
        <f>'LLY Balance Sheet'!E30</f>
        <v>6043.1</v>
      </c>
    </row>
    <row r="9" spans="1:6" x14ac:dyDescent="0.35">
      <c r="A9" t="str">
        <f>'LLY Balance Sheet'!A40</f>
        <v>Noncontrolling interests</v>
      </c>
      <c r="B9">
        <f>'LLY Balance Sheet'!B40</f>
        <v>92.2</v>
      </c>
      <c r="C9">
        <f>'LLY Balance Sheet'!C40</f>
        <v>183.6</v>
      </c>
      <c r="D9">
        <f>'LLY Balance Sheet'!D40</f>
        <v>175.6</v>
      </c>
      <c r="E9">
        <f>'LLY Balance Sheet'!E40</f>
        <v>125.6</v>
      </c>
    </row>
    <row r="10" spans="1:6" x14ac:dyDescent="0.35">
      <c r="A10" s="4" t="s">
        <v>82</v>
      </c>
      <c r="B10" s="5">
        <f>SUM(B4:B9)</f>
        <v>33619.1</v>
      </c>
      <c r="C10" s="5">
        <f t="shared" ref="C10:E10" si="0">SUM(C4:C9)</f>
        <v>38889.699999999997</v>
      </c>
      <c r="D10" s="5">
        <f t="shared" si="0"/>
        <v>38029.299999999996</v>
      </c>
      <c r="E10" s="5">
        <f t="shared" si="0"/>
        <v>36434.300000000003</v>
      </c>
      <c r="F10" s="4" t="str">
        <f ca="1">"&lt;--"&amp;_xlfn.FORMULATEXT(E10)</f>
        <v>&lt;--=SUM(E4:E9)</v>
      </c>
    </row>
    <row r="12" spans="1:6" x14ac:dyDescent="0.35">
      <c r="A12" t="s">
        <v>0</v>
      </c>
      <c r="B12" s="2">
        <f>'LLY Income Statement'!B3</f>
        <v>22319.5</v>
      </c>
      <c r="C12" s="2">
        <f>'LLY Income Statement'!C3</f>
        <v>24539.8</v>
      </c>
      <c r="D12" s="2">
        <f>'LLY Income Statement'!D3</f>
        <v>28318.400000000001</v>
      </c>
      <c r="E12" s="2">
        <f>'LLY Income Statement'!E3</f>
        <v>28541.4</v>
      </c>
    </row>
    <row r="13" spans="1:6" x14ac:dyDescent="0.35">
      <c r="A13" t="s">
        <v>242</v>
      </c>
      <c r="B13" s="82">
        <f>B10/B12</f>
        <v>1.506265821366966</v>
      </c>
      <c r="C13" s="82">
        <f t="shared" ref="C13:E13" si="1">C10/C12</f>
        <v>1.5847602669948411</v>
      </c>
      <c r="D13" s="82">
        <f t="shared" si="1"/>
        <v>1.3429183852195037</v>
      </c>
      <c r="E13" s="82">
        <f t="shared" si="1"/>
        <v>1.2765421457952308</v>
      </c>
      <c r="F13" t="str">
        <f ca="1">"&lt;--"&amp;_xlfn.FORMULATEXT(E13)</f>
        <v>&lt;--=E10/E12</v>
      </c>
    </row>
  </sheetData>
  <mergeCells count="1">
    <mergeCell ref="A1:F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06E45-39A5-4DEE-8ECB-9CDD09751B50}">
  <dimension ref="A1:F7"/>
  <sheetViews>
    <sheetView zoomScale="76" workbookViewId="0">
      <selection activeCell="I9" sqref="I9"/>
    </sheetView>
  </sheetViews>
  <sheetFormatPr defaultRowHeight="14.5" x14ac:dyDescent="0.35"/>
  <cols>
    <col min="1" max="1" width="36.81640625" customWidth="1"/>
  </cols>
  <sheetData>
    <row r="1" spans="1:6" ht="18.5" x14ac:dyDescent="0.45">
      <c r="A1" s="90" t="s">
        <v>243</v>
      </c>
      <c r="B1" s="90"/>
      <c r="C1" s="90"/>
      <c r="D1" s="90"/>
      <c r="E1" s="90"/>
      <c r="F1" s="90"/>
    </row>
    <row r="2" spans="1:6" x14ac:dyDescent="0.35">
      <c r="B2" s="4">
        <f>'LLY Balance Sheet'!B2</f>
        <v>2019</v>
      </c>
      <c r="C2" s="4">
        <f>'LLY Balance Sheet'!C2</f>
        <v>2020</v>
      </c>
      <c r="D2" s="4">
        <f>'LLY Balance Sheet'!D2</f>
        <v>2021</v>
      </c>
      <c r="E2" s="4">
        <f>'LLY Balance Sheet'!E2</f>
        <v>2022</v>
      </c>
    </row>
    <row r="3" spans="1:6" x14ac:dyDescent="0.35">
      <c r="A3" t="str">
        <f>'LLY Income Statement'!A11</f>
        <v>Interest expense</v>
      </c>
      <c r="B3" s="2">
        <f>'LLY Income Statement'!B11</f>
        <v>400.6</v>
      </c>
      <c r="C3" s="2">
        <f>'LLY Income Statement'!C11</f>
        <v>359.6</v>
      </c>
      <c r="D3" s="2">
        <f>'LLY Income Statement'!D11</f>
        <v>339.8</v>
      </c>
      <c r="E3" s="2">
        <f>'LLY Income Statement'!E11</f>
        <v>331.6</v>
      </c>
    </row>
    <row r="4" spans="1:6" x14ac:dyDescent="0.35">
      <c r="A4" t="s">
        <v>244</v>
      </c>
      <c r="B4" s="81">
        <f>'LLY Balance Sheet'!B22+'LLY Balance Sheet'!B26+'LLY Balance Sheet'!B28</f>
        <v>15364.400000000001</v>
      </c>
      <c r="C4" s="81">
        <f>'LLY Balance Sheet'!C22+'LLY Balance Sheet'!C26+'LLY Balance Sheet'!C28</f>
        <v>16885.8</v>
      </c>
      <c r="D4" s="81">
        <f>'LLY Balance Sheet'!D22+'LLY Balance Sheet'!D26+'LLY Balance Sheet'!D28</f>
        <v>16926.5</v>
      </c>
      <c r="E4" s="81">
        <f>'LLY Balance Sheet'!E22+'LLY Balance Sheet'!E26+'LLY Balance Sheet'!E28</f>
        <v>17139.399999999998</v>
      </c>
    </row>
    <row r="5" spans="1:6" x14ac:dyDescent="0.35">
      <c r="A5" s="4" t="s">
        <v>245</v>
      </c>
      <c r="B5" s="83">
        <f>B3/B4</f>
        <v>2.6073260263986878E-2</v>
      </c>
      <c r="C5" s="83">
        <f t="shared" ref="C5:E5" si="0">C3/C4</f>
        <v>2.1296000189508345E-2</v>
      </c>
      <c r="D5" s="83">
        <f t="shared" si="0"/>
        <v>2.0075030277966505E-2</v>
      </c>
      <c r="E5" s="83">
        <f t="shared" si="0"/>
        <v>1.9347235025730193E-2</v>
      </c>
    </row>
    <row r="7" spans="1:6" x14ac:dyDescent="0.35">
      <c r="A7" s="4" t="s">
        <v>246</v>
      </c>
      <c r="B7" s="84">
        <f>AVERAGE(B5:E5)</f>
        <v>2.1697881439297982E-2</v>
      </c>
      <c r="E7" s="82"/>
    </row>
  </sheetData>
  <mergeCells count="1">
    <mergeCell ref="A1:F1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3B422-EF18-4651-9B7F-902A0663233F}">
  <sheetPr codeName="Sheet11"/>
  <dimension ref="A1:F9"/>
  <sheetViews>
    <sheetView workbookViewId="0">
      <selection activeCell="B9" sqref="B9"/>
    </sheetView>
  </sheetViews>
  <sheetFormatPr defaultRowHeight="14.5" x14ac:dyDescent="0.35"/>
  <cols>
    <col min="1" max="1" width="19.08984375" customWidth="1"/>
    <col min="2" max="5" width="8.26953125" customWidth="1"/>
  </cols>
  <sheetData>
    <row r="1" spans="1:6" ht="18.5" x14ac:dyDescent="0.45">
      <c r="A1" s="90" t="s">
        <v>229</v>
      </c>
      <c r="B1" s="90"/>
      <c r="C1" s="90"/>
      <c r="D1" s="90"/>
      <c r="E1" s="90"/>
      <c r="F1" s="90"/>
    </row>
    <row r="2" spans="1:6" x14ac:dyDescent="0.35">
      <c r="B2" s="4">
        <f>'LLY Balance Sheet'!B2</f>
        <v>2019</v>
      </c>
      <c r="C2" s="4">
        <f>'LLY Balance Sheet'!C2</f>
        <v>2020</v>
      </c>
      <c r="D2" s="4">
        <f>'LLY Balance Sheet'!D2</f>
        <v>2021</v>
      </c>
      <c r="E2" s="4">
        <f>'LLY Balance Sheet'!E2</f>
        <v>2022</v>
      </c>
    </row>
    <row r="3" spans="1:6" x14ac:dyDescent="0.35">
      <c r="A3" t="str">
        <f>'LLY Income Statement'!A14</f>
        <v>Income before taxes</v>
      </c>
      <c r="B3" s="2">
        <f>'LLY Income Statement'!B14</f>
        <v>5265.9</v>
      </c>
      <c r="C3" s="2">
        <f>'LLY Income Statement'!C14</f>
        <v>7229.8999999999978</v>
      </c>
      <c r="D3" s="2">
        <f>'LLY Income Statement'!D14</f>
        <v>6155.5000000000055</v>
      </c>
      <c r="E3" s="2">
        <f>'LLY Income Statement'!E14</f>
        <v>6806.4000000000015</v>
      </c>
    </row>
    <row r="4" spans="1:6" x14ac:dyDescent="0.35">
      <c r="A4" t="str">
        <f>'LLY Income Statement'!A15</f>
        <v>Taxes on income</v>
      </c>
      <c r="B4" s="2">
        <f>'LLY Income Statement'!B15</f>
        <v>628</v>
      </c>
      <c r="C4" s="2">
        <f>'LLY Income Statement'!C15</f>
        <v>1036.2</v>
      </c>
      <c r="D4" s="2">
        <f>'LLY Income Statement'!D15</f>
        <v>573.79999999999995</v>
      </c>
      <c r="E4" s="2">
        <f>'LLY Income Statement'!E15</f>
        <v>561.6</v>
      </c>
    </row>
    <row r="5" spans="1:6" x14ac:dyDescent="0.35">
      <c r="A5" t="s">
        <v>83</v>
      </c>
      <c r="B5" s="16">
        <f>B4/B3</f>
        <v>0.11925786665147459</v>
      </c>
      <c r="C5" s="16">
        <f t="shared" ref="C5:E5" si="0">C4/C3</f>
        <v>0.14332148439120879</v>
      </c>
      <c r="D5" s="16">
        <f t="shared" si="0"/>
        <v>9.321744781090073E-2</v>
      </c>
      <c r="E5" s="16">
        <f t="shared" si="0"/>
        <v>8.2510578279266555E-2</v>
      </c>
      <c r="F5" t="str">
        <f ca="1">"&lt;--"&amp;_xlfn.FORMULATEXT(E5)</f>
        <v>&lt;--=E4/E3</v>
      </c>
    </row>
    <row r="7" spans="1:6" x14ac:dyDescent="0.35">
      <c r="A7" t="s">
        <v>84</v>
      </c>
    </row>
    <row r="8" spans="1:6" x14ac:dyDescent="0.35">
      <c r="A8" s="3" t="s">
        <v>85</v>
      </c>
      <c r="B8" s="16">
        <f>AVERAGE(B5:E5)</f>
        <v>0.10957684428321267</v>
      </c>
      <c r="C8" t="str">
        <f ca="1">"&lt;--"&amp;_xlfn.FORMULATEXT(B8)</f>
        <v>&lt;--=AVERAGE(B5:E5)</v>
      </c>
    </row>
    <row r="9" spans="1:6" x14ac:dyDescent="0.35">
      <c r="A9" s="3" t="s">
        <v>86</v>
      </c>
      <c r="B9" s="16">
        <f>SUM(B4:E4)/SUM(B3:E3)</f>
        <v>0.10997065720783886</v>
      </c>
      <c r="C9" t="str">
        <f ca="1">"&lt;--"&amp;_xlfn.FORMULATEXT(B9)</f>
        <v>&lt;--=SUM(B4:E4)/SUM(B3:E3)</v>
      </c>
    </row>
  </sheetData>
  <mergeCells count="1">
    <mergeCell ref="A1:F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A7D85-C52C-424F-9848-766D55427038}">
  <dimension ref="A1:M4"/>
  <sheetViews>
    <sheetView workbookViewId="0">
      <selection activeCell="N12" sqref="N12"/>
    </sheetView>
  </sheetViews>
  <sheetFormatPr defaultRowHeight="14.5" x14ac:dyDescent="0.35"/>
  <cols>
    <col min="1" max="1" width="9.1796875" bestFit="1" customWidth="1"/>
    <col min="2" max="13" width="6.26953125" customWidth="1"/>
  </cols>
  <sheetData>
    <row r="1" spans="1:13" ht="18" x14ac:dyDescent="0.4">
      <c r="A1" s="92" t="s">
        <v>201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</row>
    <row r="2" spans="1:13" x14ac:dyDescent="0.35">
      <c r="A2" t="s">
        <v>158</v>
      </c>
      <c r="B2" s="75" t="s">
        <v>202</v>
      </c>
    </row>
    <row r="3" spans="1:13" x14ac:dyDescent="0.35">
      <c r="A3" s="76" t="s">
        <v>188</v>
      </c>
      <c r="B3" s="76" t="s">
        <v>189</v>
      </c>
      <c r="C3" s="76" t="s">
        <v>190</v>
      </c>
      <c r="D3" s="76" t="s">
        <v>191</v>
      </c>
      <c r="E3" s="76" t="s">
        <v>192</v>
      </c>
      <c r="F3" s="76" t="s">
        <v>193</v>
      </c>
      <c r="G3" s="76" t="s">
        <v>194</v>
      </c>
      <c r="H3" s="76" t="s">
        <v>195</v>
      </c>
      <c r="I3" s="76" t="s">
        <v>196</v>
      </c>
      <c r="J3" s="76" t="s">
        <v>197</v>
      </c>
      <c r="K3" s="76" t="s">
        <v>198</v>
      </c>
      <c r="L3" s="76" t="s">
        <v>199</v>
      </c>
      <c r="M3" s="76" t="s">
        <v>200</v>
      </c>
    </row>
    <row r="4" spans="1:13" x14ac:dyDescent="0.35">
      <c r="A4" s="66">
        <v>44925</v>
      </c>
      <c r="B4" s="13">
        <v>4.1200000000000001E-2</v>
      </c>
      <c r="C4" s="13">
        <v>4.41E-2</v>
      </c>
      <c r="D4" s="13">
        <v>4.4200000000000003E-2</v>
      </c>
      <c r="E4" s="13">
        <v>4.7600000000000003E-2</v>
      </c>
      <c r="F4" s="13">
        <v>4.7300000000000002E-2</v>
      </c>
      <c r="G4" s="13">
        <v>4.41E-2</v>
      </c>
      <c r="H4" s="13">
        <v>4.2200000000000001E-2</v>
      </c>
      <c r="I4" s="13">
        <v>3.9899999999999998E-2</v>
      </c>
      <c r="J4" s="13">
        <v>3.9600000000000003E-2</v>
      </c>
      <c r="K4" s="77">
        <v>3.8800000000000001E-2</v>
      </c>
      <c r="L4" s="13">
        <v>4.1399999999999999E-2</v>
      </c>
      <c r="M4" s="13">
        <v>3.9699999999999999E-2</v>
      </c>
    </row>
  </sheetData>
  <mergeCells count="1">
    <mergeCell ref="A1:M1"/>
  </mergeCells>
  <hyperlinks>
    <hyperlink ref="B2" r:id="rId1" xr:uid="{9B3105A5-AB20-48BA-B76E-238CF65A183C}"/>
  </hyperlink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8B9B9-410D-4FC0-A19A-6315EF615AA9}">
  <sheetPr codeName="Sheet12"/>
  <dimension ref="A1:F5"/>
  <sheetViews>
    <sheetView workbookViewId="0">
      <selection activeCell="A2" sqref="A2"/>
    </sheetView>
  </sheetViews>
  <sheetFormatPr defaultRowHeight="14.5" x14ac:dyDescent="0.35"/>
  <cols>
    <col min="1" max="1" width="22.08984375" bestFit="1" customWidth="1"/>
    <col min="2" max="5" width="6.90625" customWidth="1"/>
    <col min="6" max="6" width="13.6328125" bestFit="1" customWidth="1"/>
  </cols>
  <sheetData>
    <row r="1" spans="1:6" ht="18.5" x14ac:dyDescent="0.45">
      <c r="A1" s="90" t="s">
        <v>230</v>
      </c>
      <c r="B1" s="90"/>
      <c r="C1" s="90"/>
      <c r="D1" s="90"/>
      <c r="E1" s="90"/>
      <c r="F1" s="90"/>
    </row>
    <row r="2" spans="1:6" x14ac:dyDescent="0.35">
      <c r="B2" s="4">
        <f>'LLY Balance Sheet'!B2</f>
        <v>2019</v>
      </c>
      <c r="C2" s="4">
        <f>'LLY Balance Sheet'!C2</f>
        <v>2020</v>
      </c>
      <c r="D2" s="4">
        <f>'LLY Balance Sheet'!D2</f>
        <v>2021</v>
      </c>
      <c r="E2" s="4">
        <f>'LLY Balance Sheet'!E2</f>
        <v>2022</v>
      </c>
    </row>
    <row r="3" spans="1:6" x14ac:dyDescent="0.35">
      <c r="A3" t="str">
        <f>'LLY Balance Sheet'!A5</f>
        <v>Cash and cash equivalents</v>
      </c>
      <c r="B3" s="2">
        <f>'LLY Balance Sheet'!B5</f>
        <v>2337.5</v>
      </c>
      <c r="C3" s="2">
        <f>'LLY Balance Sheet'!C5</f>
        <v>3657.1</v>
      </c>
      <c r="D3" s="2">
        <f>'LLY Balance Sheet'!D5</f>
        <v>3818.5</v>
      </c>
      <c r="E3" s="2">
        <f>'LLY Balance Sheet'!E5</f>
        <v>2067</v>
      </c>
    </row>
    <row r="4" spans="1:6" x14ac:dyDescent="0.35">
      <c r="A4" t="str">
        <f>'LLY Balance Sheet'!A6</f>
        <v>Short-term investments</v>
      </c>
      <c r="B4" s="2">
        <f>'LLY Balance Sheet'!B6</f>
        <v>101</v>
      </c>
      <c r="C4" s="2">
        <f>'LLY Balance Sheet'!C6</f>
        <v>24.2</v>
      </c>
      <c r="D4" s="2">
        <f>'LLY Balance Sheet'!D6</f>
        <v>94.899999999999991</v>
      </c>
      <c r="E4" s="2">
        <f>'LLY Balance Sheet'!E6</f>
        <v>375.3</v>
      </c>
    </row>
    <row r="5" spans="1:6" x14ac:dyDescent="0.35">
      <c r="A5" s="4" t="s">
        <v>203</v>
      </c>
      <c r="B5" s="5">
        <f>SUM(B3:B4)</f>
        <v>2438.5</v>
      </c>
      <c r="C5" s="5">
        <f t="shared" ref="C5:E5" si="0">SUM(C3:C4)</f>
        <v>3681.2999999999997</v>
      </c>
      <c r="D5" s="5">
        <f t="shared" si="0"/>
        <v>3913.4</v>
      </c>
      <c r="E5" s="5">
        <f t="shared" si="0"/>
        <v>2442.3000000000002</v>
      </c>
      <c r="F5" s="4" t="str">
        <f ca="1">"&lt;--"&amp;_xlfn.FORMULATEXT(E5)</f>
        <v>&lt;--=SUM(E3:E4)</v>
      </c>
    </row>
  </sheetData>
  <mergeCells count="1">
    <mergeCell ref="A1:F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AA356-F5C2-46EB-BC22-ADC434F6E79A}">
  <sheetPr codeName="Sheet21"/>
  <dimension ref="A1:L119"/>
  <sheetViews>
    <sheetView tabSelected="1" topLeftCell="A63" zoomScale="76" workbookViewId="0">
      <selection activeCell="F75" sqref="F75"/>
    </sheetView>
  </sheetViews>
  <sheetFormatPr defaultColWidth="8.7265625" defaultRowHeight="12.5" x14ac:dyDescent="0.25"/>
  <cols>
    <col min="1" max="1" width="49.6328125" style="20" customWidth="1"/>
    <col min="2" max="2" width="14" style="20" customWidth="1"/>
    <col min="3" max="3" width="15.36328125" style="20" customWidth="1"/>
    <col min="4" max="4" width="16" style="20" customWidth="1"/>
    <col min="5" max="5" width="15.1796875" style="20" customWidth="1"/>
    <col min="6" max="6" width="13.26953125" style="20" customWidth="1"/>
    <col min="7" max="7" width="12.90625" style="20" customWidth="1"/>
    <col min="8" max="8" width="30.08984375" style="20" customWidth="1"/>
    <col min="9" max="16384" width="8.7265625" style="20"/>
  </cols>
  <sheetData>
    <row r="1" spans="1:8" ht="18" x14ac:dyDescent="0.4">
      <c r="A1" s="93" t="s">
        <v>231</v>
      </c>
      <c r="B1" s="93"/>
      <c r="C1" s="93"/>
      <c r="D1" s="93"/>
      <c r="E1" s="93"/>
      <c r="F1" s="93"/>
      <c r="G1" s="93"/>
      <c r="H1" s="93"/>
    </row>
    <row r="2" spans="1:8" s="21" customFormat="1" ht="14" x14ac:dyDescent="0.3">
      <c r="B2" s="22" t="s">
        <v>87</v>
      </c>
      <c r="C2" s="22" t="s">
        <v>88</v>
      </c>
      <c r="D2" s="22" t="s">
        <v>89</v>
      </c>
      <c r="E2" s="22" t="s">
        <v>90</v>
      </c>
      <c r="F2" s="22" t="s">
        <v>91</v>
      </c>
      <c r="G2" s="22" t="s">
        <v>92</v>
      </c>
    </row>
    <row r="3" spans="1:8" s="21" customFormat="1" ht="14" x14ac:dyDescent="0.3">
      <c r="A3" s="21" t="s">
        <v>93</v>
      </c>
      <c r="B3" s="23"/>
      <c r="C3" s="56">
        <f>'YoY sales growth'!B14</f>
        <v>2.371533123827585E-2</v>
      </c>
      <c r="D3" s="56">
        <f>C3</f>
        <v>2.371533123827585E-2</v>
      </c>
      <c r="E3" s="56">
        <f t="shared" ref="E3:G13" si="0">D3</f>
        <v>2.371533123827585E-2</v>
      </c>
      <c r="F3" s="56">
        <f t="shared" si="0"/>
        <v>2.371533123827585E-2</v>
      </c>
      <c r="G3" s="56">
        <f t="shared" si="0"/>
        <v>2.371533123827585E-2</v>
      </c>
    </row>
    <row r="4" spans="1:8" s="21" customFormat="1" ht="14" x14ac:dyDescent="0.3">
      <c r="A4" s="21" t="s">
        <v>138</v>
      </c>
      <c r="B4" s="54"/>
      <c r="C4" s="54">
        <f>'Operating costs analysis'!B12</f>
        <v>-3698.6442882124466</v>
      </c>
      <c r="D4" s="54">
        <f t="shared" ref="D4" si="1">C4</f>
        <v>-3698.6442882124466</v>
      </c>
      <c r="E4" s="54">
        <f t="shared" si="0"/>
        <v>-3698.6442882124466</v>
      </c>
      <c r="F4" s="54">
        <f t="shared" si="0"/>
        <v>-3698.6442882124466</v>
      </c>
      <c r="G4" s="54">
        <f t="shared" si="0"/>
        <v>-3698.6442882124466</v>
      </c>
      <c r="H4" s="21" t="str">
        <f t="shared" ref="H4:H10" ca="1" si="2">"&lt;--"&amp;_xlfn.FORMULATEXT(G4)</f>
        <v>&lt;--=F4</v>
      </c>
    </row>
    <row r="5" spans="1:8" s="21" customFormat="1" ht="14" x14ac:dyDescent="0.3">
      <c r="A5" s="21" t="s">
        <v>139</v>
      </c>
      <c r="B5" s="53"/>
      <c r="C5" s="58">
        <f>'Operating costs analysis'!B13</f>
        <v>0.83108489326314816</v>
      </c>
      <c r="D5" s="58">
        <f t="shared" ref="D5:G6" si="3">C5</f>
        <v>0.83108489326314816</v>
      </c>
      <c r="E5" s="58">
        <f t="shared" si="3"/>
        <v>0.83108489326314816</v>
      </c>
      <c r="F5" s="58">
        <f t="shared" si="3"/>
        <v>0.83108489326314816</v>
      </c>
      <c r="G5" s="58">
        <f t="shared" si="3"/>
        <v>0.83108489326314816</v>
      </c>
      <c r="H5" s="21" t="str">
        <f t="shared" ca="1" si="2"/>
        <v>&lt;--=F5</v>
      </c>
    </row>
    <row r="6" spans="1:8" s="21" customFormat="1" ht="14" x14ac:dyDescent="0.3">
      <c r="A6" s="21" t="s">
        <v>94</v>
      </c>
      <c r="B6" s="23"/>
      <c r="C6" s="55">
        <f>'Interest Rate on Debt Analysis'!$B$7</f>
        <v>2.1697881439297982E-2</v>
      </c>
      <c r="D6" s="55">
        <f>C6</f>
        <v>2.1697881439297982E-2</v>
      </c>
      <c r="E6" s="55">
        <f t="shared" si="3"/>
        <v>2.1697881439297982E-2</v>
      </c>
      <c r="F6" s="55">
        <f t="shared" si="3"/>
        <v>2.1697881439297982E-2</v>
      </c>
      <c r="G6" s="55">
        <f t="shared" si="3"/>
        <v>2.1697881439297982E-2</v>
      </c>
      <c r="H6" s="21" t="str">
        <f t="shared" ca="1" si="2"/>
        <v>&lt;--=F6</v>
      </c>
    </row>
    <row r="7" spans="1:8" s="21" customFormat="1" ht="14" x14ac:dyDescent="0.3">
      <c r="A7" s="21" t="s">
        <v>95</v>
      </c>
      <c r="B7" s="23"/>
      <c r="C7" s="55">
        <f>AVERAGE('NWC analysis'!$B$10:$E$10)</f>
        <v>0.53156780429594297</v>
      </c>
      <c r="D7" s="55">
        <f>C7</f>
        <v>0.53156780429594297</v>
      </c>
      <c r="E7" s="55">
        <f t="shared" ref="E7:G7" si="4">D7</f>
        <v>0.53156780429594297</v>
      </c>
      <c r="F7" s="55">
        <f t="shared" si="4"/>
        <v>0.53156780429594297</v>
      </c>
      <c r="G7" s="55">
        <f t="shared" si="4"/>
        <v>0.53156780429594297</v>
      </c>
      <c r="H7" s="21" t="str">
        <f t="shared" ca="1" si="2"/>
        <v>&lt;--=F7</v>
      </c>
    </row>
    <row r="8" spans="1:8" s="21" customFormat="1" ht="14" x14ac:dyDescent="0.3">
      <c r="A8" s="21" t="s">
        <v>96</v>
      </c>
      <c r="B8" s="23"/>
      <c r="C8" s="56">
        <f>AVERAGE('NWC analysis'!$B$16:$E$16)</f>
        <v>7.5892429897909619E-2</v>
      </c>
      <c r="D8" s="55">
        <f>C8</f>
        <v>7.5892429897909619E-2</v>
      </c>
      <c r="E8" s="55">
        <f t="shared" ref="E8:G8" si="5">D8</f>
        <v>7.5892429897909619E-2</v>
      </c>
      <c r="F8" s="55">
        <f t="shared" si="5"/>
        <v>7.5892429897909619E-2</v>
      </c>
      <c r="G8" s="55">
        <f t="shared" si="5"/>
        <v>7.5892429897909619E-2</v>
      </c>
      <c r="H8" s="21" t="str">
        <f t="shared" ca="1" si="2"/>
        <v>&lt;--=F8</v>
      </c>
    </row>
    <row r="9" spans="1:8" s="21" customFormat="1" ht="14" x14ac:dyDescent="0.3">
      <c r="A9" s="21" t="s">
        <v>97</v>
      </c>
      <c r="B9" s="23"/>
      <c r="C9" s="56">
        <f>'Fixed asset analysis'!$B$14</f>
        <v>0.34480672040333538</v>
      </c>
      <c r="D9" s="55">
        <f>C9</f>
        <v>0.34480672040333538</v>
      </c>
      <c r="E9" s="55">
        <f t="shared" ref="E9:G9" si="6">D9</f>
        <v>0.34480672040333538</v>
      </c>
      <c r="F9" s="55">
        <f t="shared" si="6"/>
        <v>0.34480672040333538</v>
      </c>
      <c r="G9" s="55">
        <f t="shared" si="6"/>
        <v>0.34480672040333538</v>
      </c>
      <c r="H9" s="21" t="str">
        <f t="shared" ca="1" si="2"/>
        <v>&lt;--=F9</v>
      </c>
    </row>
    <row r="10" spans="1:8" s="21" customFormat="1" ht="14" x14ac:dyDescent="0.3">
      <c r="A10" s="21" t="s">
        <v>142</v>
      </c>
      <c r="B10" s="23"/>
      <c r="C10" s="54">
        <f>'Depreciation analysis'!B10</f>
        <v>13</v>
      </c>
      <c r="D10" s="54">
        <f>C10</f>
        <v>13</v>
      </c>
      <c r="E10" s="54">
        <f t="shared" ref="E10:G10" si="7">D10</f>
        <v>13</v>
      </c>
      <c r="F10" s="54">
        <f t="shared" si="7"/>
        <v>13</v>
      </c>
      <c r="G10" s="54">
        <f t="shared" si="7"/>
        <v>13</v>
      </c>
      <c r="H10" s="21" t="str">
        <f t="shared" ca="1" si="2"/>
        <v>&lt;--=F10</v>
      </c>
    </row>
    <row r="11" spans="1:8" s="21" customFormat="1" ht="14" x14ac:dyDescent="0.3">
      <c r="A11" s="21" t="s">
        <v>101</v>
      </c>
      <c r="B11" s="23"/>
      <c r="C11" s="23">
        <v>0.01</v>
      </c>
      <c r="D11" s="23">
        <v>0.01</v>
      </c>
      <c r="E11" s="23">
        <v>0.01</v>
      </c>
      <c r="F11" s="23">
        <v>0.01</v>
      </c>
      <c r="G11" s="23">
        <v>0.01</v>
      </c>
    </row>
    <row r="12" spans="1:8" s="21" customFormat="1" ht="14" x14ac:dyDescent="0.3">
      <c r="A12" s="21" t="s">
        <v>98</v>
      </c>
      <c r="B12" s="23"/>
      <c r="C12" s="23">
        <v>0.11</v>
      </c>
      <c r="D12" s="23">
        <f t="shared" ref="D12:D13" si="8">C12</f>
        <v>0.11</v>
      </c>
      <c r="E12" s="23">
        <f t="shared" ref="E12:F13" si="9">D12</f>
        <v>0.11</v>
      </c>
      <c r="F12" s="23">
        <f t="shared" si="9"/>
        <v>0.11</v>
      </c>
      <c r="G12" s="23">
        <f t="shared" si="0"/>
        <v>0.11</v>
      </c>
      <c r="H12" s="21" t="str">
        <f ca="1">"&lt;--"&amp;_xlfn.FORMULATEXT(G12)</f>
        <v>&lt;--=F12</v>
      </c>
    </row>
    <row r="13" spans="1:8" s="21" customFormat="1" ht="14" x14ac:dyDescent="0.3">
      <c r="A13" s="21" t="s">
        <v>143</v>
      </c>
      <c r="B13" s="23"/>
      <c r="C13" s="56">
        <f>'Dividend analysis'!B7</f>
        <v>0.13632413366127594</v>
      </c>
      <c r="D13" s="56">
        <f t="shared" si="8"/>
        <v>0.13632413366127594</v>
      </c>
      <c r="E13" s="56">
        <f t="shared" si="9"/>
        <v>0.13632413366127594</v>
      </c>
      <c r="F13" s="56">
        <f t="shared" si="9"/>
        <v>0.13632413366127594</v>
      </c>
      <c r="G13" s="56">
        <f t="shared" si="0"/>
        <v>0.13632413366127594</v>
      </c>
      <c r="H13" s="21" t="str">
        <f ca="1">"&lt;--"&amp;_xlfn.FORMULATEXT(G13)</f>
        <v>&lt;--=F13</v>
      </c>
    </row>
    <row r="14" spans="1:8" s="21" customFormat="1" ht="14" x14ac:dyDescent="0.3"/>
    <row r="15" spans="1:8" s="24" customFormat="1" ht="14" x14ac:dyDescent="0.3">
      <c r="A15" s="24" t="s">
        <v>58</v>
      </c>
      <c r="B15" s="22">
        <v>0</v>
      </c>
      <c r="C15" s="22">
        <v>1</v>
      </c>
      <c r="D15" s="22">
        <v>2</v>
      </c>
      <c r="E15" s="22">
        <v>3</v>
      </c>
      <c r="F15" s="22">
        <v>4</v>
      </c>
      <c r="G15" s="22">
        <v>5</v>
      </c>
    </row>
    <row r="16" spans="1:8" s="21" customFormat="1" ht="14" x14ac:dyDescent="0.3">
      <c r="A16" s="24" t="s">
        <v>99</v>
      </c>
    </row>
    <row r="17" spans="1:8" s="21" customFormat="1" ht="14" x14ac:dyDescent="0.3">
      <c r="A17" s="21" t="s">
        <v>0</v>
      </c>
      <c r="B17" s="25">
        <f>'LLY Income Statement'!E3</f>
        <v>28541.4</v>
      </c>
      <c r="C17" s="25">
        <f>B17*(1+C3)</f>
        <v>29218.268755004126</v>
      </c>
      <c r="D17" s="25">
        <f>C17*(1+D3)</f>
        <v>29911.189676738017</v>
      </c>
      <c r="E17" s="25">
        <f>D17*(1+E3)</f>
        <v>30620.543447652755</v>
      </c>
      <c r="F17" s="25">
        <f>E17*(1+F3)</f>
        <v>31346.719778209859</v>
      </c>
      <c r="G17" s="25">
        <f>F17*(1+G3)</f>
        <v>32090.117620983518</v>
      </c>
      <c r="H17" s="21" t="str">
        <f t="shared" ref="H17:H29" ca="1" si="10">"&lt;--"&amp;_xlfn.FORMULATEXT(G17)</f>
        <v>&lt;--=F17*(1+G3)</v>
      </c>
    </row>
    <row r="18" spans="1:8" s="21" customFormat="1" ht="14" x14ac:dyDescent="0.3">
      <c r="A18" s="21" t="s">
        <v>140</v>
      </c>
      <c r="B18" s="25">
        <f>-'Operating costs analysis'!E9</f>
        <v>-19943.7</v>
      </c>
      <c r="C18" s="25">
        <f>-(C4+C5*C17)</f>
        <v>-20584.217481374133</v>
      </c>
      <c r="D18" s="25">
        <f>-(D4+D5*D17)</f>
        <v>-21160.093591653149</v>
      </c>
      <c r="E18" s="25">
        <f>-(E4+E5*E17)</f>
        <v>-21749.626794639633</v>
      </c>
      <c r="F18" s="25">
        <f>-(F4+F5*F17)</f>
        <v>-22353.14097281091</v>
      </c>
      <c r="G18" s="25">
        <f>-(G4+G5*G17)</f>
        <v>-22970.967689624511</v>
      </c>
      <c r="H18" s="21" t="str">
        <f ca="1">"&lt;--"&amp;_xlfn.FORMULATEXT(G18)</f>
        <v>&lt;--=-(G4+G5*G17)</v>
      </c>
    </row>
    <row r="19" spans="1:8" s="21" customFormat="1" ht="14" x14ac:dyDescent="0.3">
      <c r="A19" s="24" t="s">
        <v>204</v>
      </c>
      <c r="B19" s="26">
        <f t="shared" ref="B19:G19" si="11">SUM(B17:B18)</f>
        <v>8597.7000000000007</v>
      </c>
      <c r="C19" s="26">
        <f t="shared" si="11"/>
        <v>8634.0512736299934</v>
      </c>
      <c r="D19" s="26">
        <f t="shared" si="11"/>
        <v>8751.0960850848678</v>
      </c>
      <c r="E19" s="26">
        <f t="shared" si="11"/>
        <v>8870.9166530131224</v>
      </c>
      <c r="F19" s="26">
        <f t="shared" si="11"/>
        <v>8993.578805398949</v>
      </c>
      <c r="G19" s="26">
        <f t="shared" si="11"/>
        <v>9119.1499313590066</v>
      </c>
      <c r="H19" s="21" t="str">
        <f t="shared" ca="1" si="10"/>
        <v>&lt;--=SUM(G17:G18)</v>
      </c>
    </row>
    <row r="20" spans="1:8" s="27" customFormat="1" ht="14.5" x14ac:dyDescent="0.35">
      <c r="A20" s="27" t="s">
        <v>141</v>
      </c>
      <c r="B20" s="28">
        <f t="shared" ref="B20:G20" si="12">B19/B17</f>
        <v>0.30123609914019633</v>
      </c>
      <c r="C20" s="28">
        <f t="shared" si="12"/>
        <v>0.29550180902320794</v>
      </c>
      <c r="D20" s="28">
        <f t="shared" si="12"/>
        <v>0.2925693086654661</v>
      </c>
      <c r="E20" s="28">
        <f t="shared" si="12"/>
        <v>0.28970474244450845</v>
      </c>
      <c r="F20" s="28">
        <f t="shared" si="12"/>
        <v>0.28690653660197912</v>
      </c>
      <c r="G20" s="28">
        <f t="shared" si="12"/>
        <v>0.28417315383711944</v>
      </c>
      <c r="H20" s="27" t="str">
        <f t="shared" ca="1" si="10"/>
        <v>&lt;--=G19/G17</v>
      </c>
    </row>
    <row r="21" spans="1:8" s="21" customFormat="1" ht="14" x14ac:dyDescent="0.3">
      <c r="A21" s="21" t="s">
        <v>100</v>
      </c>
      <c r="B21" s="25">
        <f>-'LLY Income Statement'!E11</f>
        <v>-331.6</v>
      </c>
      <c r="C21" s="25">
        <f>-C6*AVERAGE(B44,C44)</f>
        <v>-937.72059684435681</v>
      </c>
      <c r="D21" s="25">
        <f>-D6*AVERAGE(C44,D44)</f>
        <v>-1084.894071964899</v>
      </c>
      <c r="E21" s="25">
        <f>-E6*AVERAGE(D44,E44)</f>
        <v>-1084.894071964899</v>
      </c>
      <c r="F21" s="25">
        <f>-F6*AVERAGE(E44,F44)</f>
        <v>-1084.894071964899</v>
      </c>
      <c r="G21" s="25">
        <f>-G6*AVERAGE(F44,G44)</f>
        <v>-1084.894071964899</v>
      </c>
      <c r="H21" s="21" t="str">
        <f t="shared" ca="1" si="10"/>
        <v>&lt;--=-G6*AVERAGE(F44,G44)</v>
      </c>
    </row>
    <row r="22" spans="1:8" s="21" customFormat="1" ht="14" x14ac:dyDescent="0.3">
      <c r="A22" s="21" t="s">
        <v>101</v>
      </c>
      <c r="B22" s="25">
        <f>-'LLY Income Statement'!E10</f>
        <v>62.8</v>
      </c>
      <c r="C22" s="29">
        <f ca="1">C11*AVERAGE(B32,C32)</f>
        <v>98.50586025654151</v>
      </c>
      <c r="D22" s="29">
        <f ca="1">D11*AVERAGE(C32,D32)</f>
        <v>174.30689814100452</v>
      </c>
      <c r="E22" s="29">
        <f ca="1">E11*AVERAGE(D32,E32)</f>
        <v>174.43511544567772</v>
      </c>
      <c r="F22" s="29">
        <f ca="1">F11*AVERAGE(E32,F32)</f>
        <v>167.44921841168767</v>
      </c>
      <c r="G22" s="29">
        <f ca="1">G11*AVERAGE(F32,G32)</f>
        <v>152.2871078828731</v>
      </c>
      <c r="H22" s="21" t="str">
        <f t="shared" ca="1" si="10"/>
        <v>&lt;--=G11*AVERAGE(F32,G32)</v>
      </c>
    </row>
    <row r="23" spans="1:8" s="21" customFormat="1" ht="14" x14ac:dyDescent="0.3">
      <c r="A23" s="21" t="s">
        <v>102</v>
      </c>
      <c r="B23" s="25">
        <f>-'LLY Cash-flows'!E6</f>
        <v>-1522.5</v>
      </c>
      <c r="C23" s="25">
        <f ca="1">-B35/C10</f>
        <v>-1809.5692307692309</v>
      </c>
      <c r="D23" s="25">
        <f t="shared" ref="D23:G23" ca="1" si="13">-C35/D10</f>
        <v>-1701.3557427727269</v>
      </c>
      <c r="E23" s="25">
        <f t="shared" ca="1" si="13"/>
        <v>-1850.6080145646226</v>
      </c>
      <c r="F23" s="25">
        <f t="shared" ca="1" si="13"/>
        <v>-2011.7770885584284</v>
      </c>
      <c r="G23" s="25">
        <f t="shared" ca="1" si="13"/>
        <v>-2185.7899783686089</v>
      </c>
      <c r="H23" s="21" t="str">
        <f t="shared" ca="1" si="10"/>
        <v>&lt;--=-F35/G10</v>
      </c>
    </row>
    <row r="24" spans="1:8" s="24" customFormat="1" ht="14" x14ac:dyDescent="0.3">
      <c r="A24" s="24" t="s">
        <v>103</v>
      </c>
      <c r="B24" s="26">
        <f t="shared" ref="B24:G24" si="14">B19+SUM(B21:B23)</f>
        <v>6806.4000000000005</v>
      </c>
      <c r="C24" s="26">
        <f t="shared" ca="1" si="14"/>
        <v>5985.2673062729473</v>
      </c>
      <c r="D24" s="26">
        <f t="shared" ca="1" si="14"/>
        <v>6139.1531684882466</v>
      </c>
      <c r="E24" s="26">
        <f t="shared" ca="1" si="14"/>
        <v>6109.8496819292786</v>
      </c>
      <c r="F24" s="26">
        <f t="shared" ca="1" si="14"/>
        <v>6064.3568632873094</v>
      </c>
      <c r="G24" s="26">
        <f t="shared" ca="1" si="14"/>
        <v>6000.7529889083717</v>
      </c>
      <c r="H24" s="24" t="str">
        <f t="shared" ca="1" si="10"/>
        <v>&lt;--=G19+SUM(G21:G23)</v>
      </c>
    </row>
    <row r="25" spans="1:8" s="21" customFormat="1" ht="14" x14ac:dyDescent="0.3">
      <c r="A25" s="21" t="s">
        <v>104</v>
      </c>
      <c r="B25" s="25">
        <f>-'LLY Income Statement'!E15</f>
        <v>-561.6</v>
      </c>
      <c r="C25" s="25">
        <f ca="1">-C24*C12</f>
        <v>-658.37940369002422</v>
      </c>
      <c r="D25" s="25">
        <f ca="1">-D24*D12</f>
        <v>-675.30684853370713</v>
      </c>
      <c r="E25" s="25">
        <f ca="1">-E24*E12</f>
        <v>-672.0834650122207</v>
      </c>
      <c r="F25" s="25">
        <f ca="1">-F24*F12</f>
        <v>-667.07925496160408</v>
      </c>
      <c r="G25" s="25">
        <f ca="1">-G24*G12</f>
        <v>-660.08282877992087</v>
      </c>
      <c r="H25" s="21" t="str">
        <f t="shared" ca="1" si="10"/>
        <v>&lt;--=-G24*G12</v>
      </c>
    </row>
    <row r="26" spans="1:8" s="24" customFormat="1" ht="14" x14ac:dyDescent="0.3">
      <c r="A26" s="24" t="s">
        <v>105</v>
      </c>
      <c r="B26" s="26">
        <f>B25+B24</f>
        <v>6244.8</v>
      </c>
      <c r="C26" s="26">
        <f ca="1">C25+C24</f>
        <v>5326.8879025829228</v>
      </c>
      <c r="D26" s="26">
        <f t="shared" ref="D26:F26" ca="1" si="15">D25+D24</f>
        <v>5463.8463199545395</v>
      </c>
      <c r="E26" s="26">
        <f t="shared" ca="1" si="15"/>
        <v>5437.766216917058</v>
      </c>
      <c r="F26" s="26">
        <f t="shared" ca="1" si="15"/>
        <v>5397.2776083257049</v>
      </c>
      <c r="G26" s="26">
        <f ca="1">G25+G24</f>
        <v>5340.6701601284512</v>
      </c>
      <c r="H26" s="24" t="str">
        <f t="shared" ca="1" si="10"/>
        <v>&lt;--=G25+G24</v>
      </c>
    </row>
    <row r="27" spans="1:8" s="21" customFormat="1" ht="14.5" x14ac:dyDescent="0.35">
      <c r="A27" s="27" t="s">
        <v>106</v>
      </c>
      <c r="B27" s="30">
        <f t="shared" ref="B27:G27" si="16">B26/B17</f>
        <v>0.2187979566524417</v>
      </c>
      <c r="C27" s="30">
        <f t="shared" ca="1" si="16"/>
        <v>0.18231360479462366</v>
      </c>
      <c r="D27" s="30">
        <f t="shared" ca="1" si="16"/>
        <v>0.1826689736852487</v>
      </c>
      <c r="E27" s="30">
        <f t="shared" ca="1" si="16"/>
        <v>0.17758555546909782</v>
      </c>
      <c r="F27" s="30">
        <f t="shared" ca="1" si="16"/>
        <v>0.17217998076077903</v>
      </c>
      <c r="G27" s="30">
        <f t="shared" ca="1" si="16"/>
        <v>0.1664272541225035</v>
      </c>
      <c r="H27" s="21" t="str">
        <f t="shared" ca="1" si="10"/>
        <v>&lt;--=G26/G17</v>
      </c>
    </row>
    <row r="28" spans="1:8" s="21" customFormat="1" ht="14" x14ac:dyDescent="0.3">
      <c r="A28" s="21" t="s">
        <v>107</v>
      </c>
      <c r="B28" s="25">
        <f>-'Dividend analysis'!E4</f>
        <v>-3535.8</v>
      </c>
      <c r="C28" s="25">
        <f>B28*(1+C13)</f>
        <v>-4017.8148717995396</v>
      </c>
      <c r="D28" s="25">
        <f t="shared" ref="D28:G28" si="17">C28*(1+D13)</f>
        <v>-4565.5400034090026</v>
      </c>
      <c r="E28" s="25">
        <f t="shared" si="17"/>
        <v>-5187.9332890696332</v>
      </c>
      <c r="F28" s="25">
        <f t="shared" si="17"/>
        <v>-5895.173800194545</v>
      </c>
      <c r="G28" s="25">
        <f t="shared" si="17"/>
        <v>-6698.8282612887178</v>
      </c>
      <c r="H28" s="21" t="str">
        <f t="shared" ca="1" si="10"/>
        <v>&lt;--=F28*(1+G13)</v>
      </c>
    </row>
    <row r="29" spans="1:8" s="24" customFormat="1" ht="14" x14ac:dyDescent="0.3">
      <c r="A29" s="24" t="s">
        <v>18</v>
      </c>
      <c r="B29" s="26">
        <f>B28+B26</f>
        <v>2709</v>
      </c>
      <c r="C29" s="26">
        <f ca="1">C28+C26</f>
        <v>1309.0730307833833</v>
      </c>
      <c r="D29" s="26">
        <f t="shared" ref="D29:F29" ca="1" si="18">D28+D26</f>
        <v>898.3063165455369</v>
      </c>
      <c r="E29" s="26">
        <f t="shared" ca="1" si="18"/>
        <v>249.8329278474248</v>
      </c>
      <c r="F29" s="26">
        <f t="shared" ca="1" si="18"/>
        <v>-497.89619186884011</v>
      </c>
      <c r="G29" s="26">
        <f ca="1">G28+G26</f>
        <v>-1358.1581011602666</v>
      </c>
      <c r="H29" s="24" t="str">
        <f t="shared" ca="1" si="10"/>
        <v>&lt;--=G28+G26</v>
      </c>
    </row>
    <row r="30" spans="1:8" s="21" customFormat="1" ht="14" x14ac:dyDescent="0.3">
      <c r="B30" s="25"/>
      <c r="C30" s="25"/>
      <c r="D30" s="25"/>
      <c r="E30" s="25"/>
      <c r="F30" s="25"/>
      <c r="G30" s="25"/>
    </row>
    <row r="31" spans="1:8" s="21" customFormat="1" ht="14" x14ac:dyDescent="0.3">
      <c r="A31" s="24" t="s">
        <v>108</v>
      </c>
      <c r="B31" s="25"/>
      <c r="C31" s="25"/>
      <c r="D31" s="25"/>
      <c r="E31" s="25"/>
      <c r="F31" s="25"/>
      <c r="G31" s="25"/>
    </row>
    <row r="32" spans="1:8" s="21" customFormat="1" ht="14" x14ac:dyDescent="0.3">
      <c r="A32" s="21" t="s">
        <v>109</v>
      </c>
      <c r="B32" s="25">
        <f>'Cash and Equivalents'!E5</f>
        <v>2442.3000000000002</v>
      </c>
      <c r="C32" s="32">
        <f ca="1">C47-SUM(C37:C40,C33)</f>
        <v>17258.872051308303</v>
      </c>
      <c r="D32" s="32">
        <f t="shared" ref="D32:G32" ca="1" si="19">D47-SUM(D37:D40,D33)</f>
        <v>17602.507576892604</v>
      </c>
      <c r="E32" s="32">
        <f t="shared" ca="1" si="19"/>
        <v>17284.515512242942</v>
      </c>
      <c r="F32" s="32">
        <f t="shared" ca="1" si="19"/>
        <v>16205.328170094588</v>
      </c>
      <c r="G32" s="32">
        <f t="shared" ca="1" si="19"/>
        <v>14252.093406480031</v>
      </c>
      <c r="H32" s="31" t="str">
        <f ca="1">"&lt;--"&amp;_xlfn.FORMULATEXT(G32)</f>
        <v>&lt;--=G47-SUM(G37:G40,G33)</v>
      </c>
    </row>
    <row r="33" spans="1:8" s="21" customFormat="1" ht="14" x14ac:dyDescent="0.3">
      <c r="A33" s="21" t="s">
        <v>110</v>
      </c>
      <c r="B33" s="25">
        <f>'NWC analysis'!E9</f>
        <v>15592.2</v>
      </c>
      <c r="C33" s="25">
        <f>C17*C7</f>
        <v>15531.490967426298</v>
      </c>
      <c r="D33" s="25">
        <f>D17*D7</f>
        <v>15899.825420343104</v>
      </c>
      <c r="E33" s="25">
        <f>E17*E7</f>
        <v>16276.895046817299</v>
      </c>
      <c r="F33" s="25">
        <f>F17*F7</f>
        <v>16662.907004383222</v>
      </c>
      <c r="G33" s="25">
        <f>G17*G7</f>
        <v>17058.073363384756</v>
      </c>
      <c r="H33" s="21" t="str">
        <f ca="1">"&lt;--"&amp;_xlfn.FORMULATEXT(G33)</f>
        <v>&lt;--=G17*G7</v>
      </c>
    </row>
    <row r="34" spans="1:8" s="21" customFormat="1" ht="14" x14ac:dyDescent="0.3">
      <c r="A34" s="21" t="s">
        <v>46</v>
      </c>
      <c r="B34" s="25"/>
      <c r="C34" s="25"/>
      <c r="D34" s="25"/>
      <c r="E34" s="25"/>
      <c r="F34" s="25"/>
      <c r="G34" s="25"/>
    </row>
    <row r="35" spans="1:8" s="21" customFormat="1" ht="14" x14ac:dyDescent="0.3">
      <c r="A35" s="21" t="s">
        <v>111</v>
      </c>
      <c r="B35" s="25">
        <f ca="1">B37-B36</f>
        <v>23524.400000000001</v>
      </c>
      <c r="C35" s="25">
        <f t="shared" ref="C35:G35" ca="1" si="20">C37-C36</f>
        <v>22117.624656045449</v>
      </c>
      <c r="D35" s="25">
        <f t="shared" ca="1" si="20"/>
        <v>24057.904189340094</v>
      </c>
      <c r="E35" s="25">
        <f t="shared" ca="1" si="20"/>
        <v>26153.102151259569</v>
      </c>
      <c r="F35" s="25">
        <f t="shared" ca="1" si="20"/>
        <v>28415.269718791918</v>
      </c>
      <c r="G35" s="25">
        <f t="shared" ca="1" si="20"/>
        <v>30857.388269282223</v>
      </c>
      <c r="H35" s="21" t="str">
        <f ca="1">"&lt;--"&amp;_xlfn.FORMULATEXT(G35)</f>
        <v>&lt;--=G37-G36</v>
      </c>
    </row>
    <row r="36" spans="1:8" s="21" customFormat="1" ht="14" x14ac:dyDescent="0.3">
      <c r="A36" s="21" t="s">
        <v>112</v>
      </c>
      <c r="B36" s="25">
        <f>-'LLY Balance Sheet'!E13</f>
        <v>-10233.4</v>
      </c>
      <c r="C36" s="25">
        <f ca="1">B36+C23</f>
        <v>-12042.969230769231</v>
      </c>
      <c r="D36" s="25">
        <f t="shared" ref="D36:F36" ca="1" si="21">C36+D23</f>
        <v>-13744.324973541958</v>
      </c>
      <c r="E36" s="25">
        <f t="shared" ca="1" si="21"/>
        <v>-15594.932988106581</v>
      </c>
      <c r="F36" s="25">
        <f t="shared" ca="1" si="21"/>
        <v>-17606.710076665007</v>
      </c>
      <c r="G36" s="25">
        <f ca="1">F36+G23</f>
        <v>-19792.500055033615</v>
      </c>
      <c r="H36" s="21" t="str">
        <f ca="1">"&lt;--"&amp;_xlfn.FORMULATEXT(G36)</f>
        <v>&lt;--=F36+G23</v>
      </c>
    </row>
    <row r="37" spans="1:8" s="21" customFormat="1" ht="14" x14ac:dyDescent="0.3">
      <c r="A37" s="21" t="s">
        <v>113</v>
      </c>
      <c r="B37" s="25">
        <f ca="1">SUM(B35:B36)</f>
        <v>13291.000000000002</v>
      </c>
      <c r="C37" s="57">
        <f>C9*C17</f>
        <v>10074.655425276218</v>
      </c>
      <c r="D37" s="57">
        <f t="shared" ref="D37:G37" si="22">D9*D17</f>
        <v>10313.579215798136</v>
      </c>
      <c r="E37" s="57">
        <f t="shared" si="22"/>
        <v>10558.169163152987</v>
      </c>
      <c r="F37" s="57">
        <f t="shared" si="22"/>
        <v>10808.559642126909</v>
      </c>
      <c r="G37" s="57">
        <f t="shared" si="22"/>
        <v>11064.888214248609</v>
      </c>
      <c r="H37" s="21" t="str">
        <f ca="1">"&lt;--"&amp;_xlfn.FORMULATEXT(G37)</f>
        <v>&lt;--=G9*G17</v>
      </c>
    </row>
    <row r="38" spans="1:8" s="21" customFormat="1" ht="14" x14ac:dyDescent="0.3">
      <c r="A38" s="21" t="str">
        <f>'LLY Balance Sheet'!A11</f>
        <v>Investments</v>
      </c>
      <c r="B38" s="25">
        <f>'LLY Balance Sheet'!E11</f>
        <v>3200.9</v>
      </c>
      <c r="C38" s="57">
        <f>B38</f>
        <v>3200.9</v>
      </c>
      <c r="D38" s="57">
        <f t="shared" ref="D38:G38" si="23">C38</f>
        <v>3200.9</v>
      </c>
      <c r="E38" s="57">
        <f t="shared" si="23"/>
        <v>3200.9</v>
      </c>
      <c r="F38" s="57">
        <f t="shared" si="23"/>
        <v>3200.9</v>
      </c>
      <c r="G38" s="57">
        <f t="shared" si="23"/>
        <v>3200.9</v>
      </c>
      <c r="H38" s="21" t="str">
        <f t="shared" ref="H38:H40" ca="1" si="24">"&lt;--"&amp;_xlfn.FORMULATEXT(G38)</f>
        <v>&lt;--=F38</v>
      </c>
    </row>
    <row r="39" spans="1:8" s="21" customFormat="1" ht="14" x14ac:dyDescent="0.3">
      <c r="A39" s="21" t="s">
        <v>144</v>
      </c>
      <c r="B39" s="25">
        <f>SUM('LLY Balance Sheet'!E15:E16)</f>
        <v>11279.6</v>
      </c>
      <c r="C39" s="25">
        <f>B39</f>
        <v>11279.6</v>
      </c>
      <c r="D39" s="25">
        <f t="shared" ref="D39:G39" si="25">C39</f>
        <v>11279.6</v>
      </c>
      <c r="E39" s="25">
        <f t="shared" si="25"/>
        <v>11279.6</v>
      </c>
      <c r="F39" s="25">
        <f t="shared" si="25"/>
        <v>11279.6</v>
      </c>
      <c r="G39" s="25">
        <f t="shared" si="25"/>
        <v>11279.6</v>
      </c>
      <c r="H39" s="21" t="str">
        <f t="shared" ca="1" si="24"/>
        <v>&lt;--=F39</v>
      </c>
    </row>
    <row r="40" spans="1:8" s="21" customFormat="1" ht="14" x14ac:dyDescent="0.3">
      <c r="A40" s="21" t="s">
        <v>145</v>
      </c>
      <c r="B40" s="25">
        <f>'LLY Balance Sheet'!E17</f>
        <v>6830.8</v>
      </c>
      <c r="C40" s="25">
        <f>B40</f>
        <v>6830.8</v>
      </c>
      <c r="D40" s="25">
        <f t="shared" ref="D40:G40" si="26">C40</f>
        <v>6830.8</v>
      </c>
      <c r="E40" s="25">
        <f t="shared" si="26"/>
        <v>6830.8</v>
      </c>
      <c r="F40" s="25">
        <f t="shared" si="26"/>
        <v>6830.8</v>
      </c>
      <c r="G40" s="25">
        <f t="shared" si="26"/>
        <v>6830.8</v>
      </c>
      <c r="H40" s="21" t="str">
        <f t="shared" ca="1" si="24"/>
        <v>&lt;--=F40</v>
      </c>
    </row>
    <row r="41" spans="1:8" s="24" customFormat="1" ht="14" x14ac:dyDescent="0.3">
      <c r="A41" s="24" t="s">
        <v>51</v>
      </c>
      <c r="B41" s="26">
        <f ca="1">SUM(B32:B33,B37:B40)</f>
        <v>52636.800000000003</v>
      </c>
      <c r="C41" s="26">
        <f ca="1">SUM(C32:C33,C37:C40)</f>
        <v>64176.318444010816</v>
      </c>
      <c r="D41" s="26">
        <f t="shared" ref="D41:G41" ca="1" si="27">SUM(D32:D33,D37:D40)</f>
        <v>65127.212213033847</v>
      </c>
      <c r="E41" s="26">
        <f t="shared" ca="1" si="27"/>
        <v>65430.879722213227</v>
      </c>
      <c r="F41" s="26">
        <f t="shared" ca="1" si="27"/>
        <v>64988.094816604724</v>
      </c>
      <c r="G41" s="26">
        <f t="shared" ca="1" si="27"/>
        <v>63686.354984113401</v>
      </c>
      <c r="H41" s="24" t="str">
        <f ca="1">"&lt;--"&amp;_xlfn.FORMULATEXT(G41)</f>
        <v>&lt;--=SUM(G32:G33,G37:G40)</v>
      </c>
    </row>
    <row r="42" spans="1:8" s="21" customFormat="1" ht="14" x14ac:dyDescent="0.3">
      <c r="B42" s="25"/>
      <c r="C42" s="25"/>
      <c r="D42" s="25"/>
      <c r="E42" s="25"/>
      <c r="F42" s="25"/>
      <c r="G42" s="25"/>
    </row>
    <row r="43" spans="1:8" s="21" customFormat="1" ht="14" x14ac:dyDescent="0.3">
      <c r="A43" s="21" t="s">
        <v>114</v>
      </c>
      <c r="B43" s="25">
        <f>'NWC analysis'!E15</f>
        <v>2405.6999999999998</v>
      </c>
      <c r="C43" s="25">
        <f>C17*C8</f>
        <v>2217.4454132274336</v>
      </c>
      <c r="D43" s="25">
        <f>D17*D8</f>
        <v>2270.0328657049176</v>
      </c>
      <c r="E43" s="25">
        <f>E17*E8</f>
        <v>2323.8674470368824</v>
      </c>
      <c r="F43" s="25">
        <f>F17*F8</f>
        <v>2378.9787332972087</v>
      </c>
      <c r="G43" s="25">
        <f>G17*G8</f>
        <v>2435.3970019661656</v>
      </c>
      <c r="H43" s="21" t="str">
        <f ca="1">"&lt;--"&amp;_xlfn.FORMULATEXT(G43)</f>
        <v>&lt;--=G17*G8</v>
      </c>
    </row>
    <row r="44" spans="1:8" s="21" customFormat="1" ht="14" x14ac:dyDescent="0.3">
      <c r="A44" s="21" t="s">
        <v>115</v>
      </c>
      <c r="B44" s="25">
        <f>'LLY Balance Sheet'!L12</f>
        <v>36434.300000000003</v>
      </c>
      <c r="C44" s="25">
        <v>50000</v>
      </c>
      <c r="D44" s="25">
        <f>C44</f>
        <v>50000</v>
      </c>
      <c r="E44" s="25">
        <f t="shared" ref="E44:G44" si="28">D44</f>
        <v>50000</v>
      </c>
      <c r="F44" s="25">
        <f t="shared" si="28"/>
        <v>50000</v>
      </c>
      <c r="G44" s="25">
        <f t="shared" si="28"/>
        <v>50000</v>
      </c>
      <c r="H44" s="21" t="str">
        <f ca="1">"&lt;--"&amp;_xlfn.FORMULATEXT(G44)</f>
        <v>&lt;--=F44</v>
      </c>
    </row>
    <row r="45" spans="1:8" s="21" customFormat="1" ht="14" x14ac:dyDescent="0.3">
      <c r="A45" s="21" t="s">
        <v>159</v>
      </c>
      <c r="B45" s="25">
        <f>SUM('LLY Balance Sheet'!E34:E35,'LLY Balance Sheet'!E38,'LLY Balance Sheet'!E26)</f>
        <v>7465</v>
      </c>
      <c r="C45" s="25">
        <f>B45</f>
        <v>7465</v>
      </c>
      <c r="D45" s="25">
        <f t="shared" ref="D45:F45" si="29">C45</f>
        <v>7465</v>
      </c>
      <c r="E45" s="25">
        <f t="shared" si="29"/>
        <v>7465</v>
      </c>
      <c r="F45" s="25">
        <f t="shared" si="29"/>
        <v>7465</v>
      </c>
      <c r="G45" s="25">
        <f>F45</f>
        <v>7465</v>
      </c>
      <c r="H45" s="21" t="str">
        <f ca="1">"&lt;--"&amp;_xlfn.FORMULATEXT(G45)</f>
        <v>&lt;--=F45</v>
      </c>
    </row>
    <row r="46" spans="1:8" s="21" customFormat="1" ht="14" x14ac:dyDescent="0.3">
      <c r="A46" s="21" t="s">
        <v>116</v>
      </c>
      <c r="B46" s="25">
        <f>SUM('LLY Balance Sheet'!E36:E37)</f>
        <v>3184.8</v>
      </c>
      <c r="C46" s="25">
        <f ca="1">B46+C29</f>
        <v>4493.873030783383</v>
      </c>
      <c r="D46" s="25">
        <f t="shared" ref="D46:F46" ca="1" si="30">C46+D29</f>
        <v>5392.1793473289199</v>
      </c>
      <c r="E46" s="25">
        <f t="shared" ca="1" si="30"/>
        <v>5642.0122751763447</v>
      </c>
      <c r="F46" s="25">
        <f t="shared" ca="1" si="30"/>
        <v>5144.1160833075046</v>
      </c>
      <c r="G46" s="25">
        <f ca="1">F46+G29</f>
        <v>3785.957982147238</v>
      </c>
      <c r="H46" s="21" t="str">
        <f ca="1">"&lt;--"&amp;_xlfn.FORMULATEXT(G46)</f>
        <v>&lt;--=F46+G29</v>
      </c>
    </row>
    <row r="47" spans="1:8" s="24" customFormat="1" ht="14" x14ac:dyDescent="0.3">
      <c r="A47" s="24" t="s">
        <v>117</v>
      </c>
      <c r="B47" s="26">
        <f>SUM(B43:B46)</f>
        <v>49489.8</v>
      </c>
      <c r="C47" s="26">
        <f ca="1">SUM(C43:C46)</f>
        <v>64176.318444010816</v>
      </c>
      <c r="D47" s="26">
        <f t="shared" ref="D47:F47" ca="1" si="31">SUM(D43:D46)</f>
        <v>65127.212213033839</v>
      </c>
      <c r="E47" s="26">
        <f t="shared" ca="1" si="31"/>
        <v>65430.879722213227</v>
      </c>
      <c r="F47" s="26">
        <f t="shared" ca="1" si="31"/>
        <v>64988.094816604716</v>
      </c>
      <c r="G47" s="26">
        <f ca="1">SUM(G43:G46)</f>
        <v>63686.354984113401</v>
      </c>
      <c r="H47" s="24" t="str">
        <f ca="1">"&lt;--"&amp;_xlfn.FORMULATEXT(G47)</f>
        <v>&lt;--=SUM(G43:G46)</v>
      </c>
    </row>
    <row r="49" spans="1:12" s="24" customFormat="1" ht="14" x14ac:dyDescent="0.3">
      <c r="A49" s="33" t="s">
        <v>58</v>
      </c>
      <c r="B49" s="34">
        <v>0</v>
      </c>
      <c r="C49" s="34">
        <v>1</v>
      </c>
      <c r="D49" s="34">
        <v>2</v>
      </c>
      <c r="E49" s="34">
        <v>3</v>
      </c>
      <c r="F49" s="34">
        <v>4</v>
      </c>
      <c r="G49" s="34">
        <v>5</v>
      </c>
      <c r="H49" s="25"/>
    </row>
    <row r="50" spans="1:12" s="21" customFormat="1" ht="14" x14ac:dyDescent="0.3">
      <c r="A50" s="33" t="s">
        <v>118</v>
      </c>
      <c r="B50" s="35"/>
      <c r="C50" s="35"/>
      <c r="D50" s="35"/>
      <c r="E50" s="35"/>
      <c r="F50" s="35"/>
      <c r="G50" s="35"/>
      <c r="H50" s="25"/>
    </row>
    <row r="51" spans="1:12" s="21" customFormat="1" ht="14" x14ac:dyDescent="0.3">
      <c r="A51" s="35" t="s">
        <v>119</v>
      </c>
      <c r="B51" s="60">
        <f>B26</f>
        <v>6244.8</v>
      </c>
      <c r="C51" s="60">
        <f ca="1">C26</f>
        <v>5326.8879025829228</v>
      </c>
      <c r="D51" s="60">
        <f t="shared" ref="D51:G51" ca="1" si="32">D26</f>
        <v>5463.8463199545395</v>
      </c>
      <c r="E51" s="60">
        <f t="shared" ca="1" si="32"/>
        <v>5437.766216917058</v>
      </c>
      <c r="F51" s="60">
        <f t="shared" ca="1" si="32"/>
        <v>5397.2776083257049</v>
      </c>
      <c r="G51" s="60">
        <f t="shared" ca="1" si="32"/>
        <v>5340.6701601284512</v>
      </c>
      <c r="H51" s="25" t="str">
        <f t="shared" ref="H51:H58" ca="1" si="33">"&lt;--"&amp;_xlfn.FORMULATEXT(G51)</f>
        <v>&lt;--=G26</v>
      </c>
      <c r="L51" s="54"/>
    </row>
    <row r="52" spans="1:12" s="21" customFormat="1" ht="14" x14ac:dyDescent="0.3">
      <c r="A52" s="35" t="s">
        <v>120</v>
      </c>
      <c r="B52" s="60">
        <f>-B23</f>
        <v>1522.5</v>
      </c>
      <c r="C52" s="60">
        <f ca="1">-C23</f>
        <v>1809.5692307692309</v>
      </c>
      <c r="D52" s="60">
        <f t="shared" ref="D52:G52" ca="1" si="34">-D23</f>
        <v>1701.3557427727269</v>
      </c>
      <c r="E52" s="60">
        <f t="shared" ca="1" si="34"/>
        <v>1850.6080145646226</v>
      </c>
      <c r="F52" s="60">
        <f t="shared" ca="1" si="34"/>
        <v>2011.7770885584284</v>
      </c>
      <c r="G52" s="60">
        <f t="shared" ca="1" si="34"/>
        <v>2185.7899783686089</v>
      </c>
      <c r="H52" s="25" t="str">
        <f t="shared" ca="1" si="33"/>
        <v>&lt;--=-G23</v>
      </c>
    </row>
    <row r="53" spans="1:12" s="21" customFormat="1" ht="14" x14ac:dyDescent="0.3">
      <c r="A53" s="35" t="s">
        <v>121</v>
      </c>
      <c r="B53" s="60">
        <f>-(B33-'NWC analysis'!D9)</f>
        <v>-1053.2000000000007</v>
      </c>
      <c r="C53" s="60">
        <f>-(C33-B33)</f>
        <v>60.709032573702643</v>
      </c>
      <c r="D53" s="60">
        <f t="shared" ref="D53:G53" si="35">-(D33-C33)</f>
        <v>-368.33445291680619</v>
      </c>
      <c r="E53" s="60">
        <f t="shared" si="35"/>
        <v>-377.06962647419459</v>
      </c>
      <c r="F53" s="60">
        <f t="shared" si="35"/>
        <v>-386.01195756592278</v>
      </c>
      <c r="G53" s="60">
        <f t="shared" si="35"/>
        <v>-395.16635900153415</v>
      </c>
      <c r="H53" s="25" t="str">
        <f t="shared" ca="1" si="33"/>
        <v>&lt;--=-(G33-F33)</v>
      </c>
    </row>
    <row r="54" spans="1:12" s="21" customFormat="1" ht="14" x14ac:dyDescent="0.3">
      <c r="A54" s="35" t="s">
        <v>122</v>
      </c>
      <c r="B54" s="60">
        <f>B43-'NWC analysis'!D15</f>
        <v>608.19999999999982</v>
      </c>
      <c r="C54" s="60">
        <f>C43-B43</f>
        <v>-188.2545867725662</v>
      </c>
      <c r="D54" s="60">
        <f>D43-C43</f>
        <v>52.587452477484021</v>
      </c>
      <c r="E54" s="60">
        <f>E43-D43</f>
        <v>53.834581331964728</v>
      </c>
      <c r="F54" s="60">
        <f>F43-E43</f>
        <v>55.111286260326324</v>
      </c>
      <c r="G54" s="60">
        <f>G43-F43</f>
        <v>56.418268668956898</v>
      </c>
      <c r="H54" s="25" t="str">
        <f t="shared" ca="1" si="33"/>
        <v>&lt;--=G43-F43</v>
      </c>
    </row>
    <row r="55" spans="1:12" s="21" customFormat="1" ht="14" x14ac:dyDescent="0.3">
      <c r="A55" s="35" t="s">
        <v>123</v>
      </c>
      <c r="B55" s="60">
        <f ca="1">-(B35-'LLY Balance Sheet'!$D$12)</f>
        <v>-4562.6000000000022</v>
      </c>
      <c r="C55" s="60">
        <f ca="1">-(C35-B35)</f>
        <v>1406.7753439545522</v>
      </c>
      <c r="D55" s="60">
        <f ca="1">-(D35-C35)</f>
        <v>-1940.2795332946444</v>
      </c>
      <c r="E55" s="60">
        <f ca="1">-(E35-D35)</f>
        <v>-2095.1979619194753</v>
      </c>
      <c r="F55" s="60">
        <f ca="1">-(F35-E35)</f>
        <v>-2262.1675675323495</v>
      </c>
      <c r="G55" s="60">
        <f ca="1">-(G35-F35)</f>
        <v>-2442.1185504903042</v>
      </c>
      <c r="H55" s="25" t="str">
        <f t="shared" ca="1" si="33"/>
        <v>&lt;--=-(G35-F35)</v>
      </c>
    </row>
    <row r="56" spans="1:12" s="21" customFormat="1" ht="14" x14ac:dyDescent="0.3">
      <c r="A56" s="35" t="s">
        <v>124</v>
      </c>
      <c r="B56" s="60">
        <f t="shared" ref="B56:G56" si="36">-B21*(1-B12)</f>
        <v>331.6</v>
      </c>
      <c r="C56" s="60">
        <f t="shared" si="36"/>
        <v>834.57133119147761</v>
      </c>
      <c r="D56" s="60">
        <f t="shared" si="36"/>
        <v>965.55572404876011</v>
      </c>
      <c r="E56" s="60">
        <f t="shared" si="36"/>
        <v>965.55572404876011</v>
      </c>
      <c r="F56" s="60">
        <f t="shared" si="36"/>
        <v>965.55572404876011</v>
      </c>
      <c r="G56" s="60">
        <f t="shared" si="36"/>
        <v>965.55572404876011</v>
      </c>
      <c r="H56" s="25" t="str">
        <f t="shared" ca="1" si="33"/>
        <v>&lt;--=-G21*(1-G12)</v>
      </c>
    </row>
    <row r="57" spans="1:12" s="21" customFormat="1" ht="14" x14ac:dyDescent="0.3">
      <c r="A57" s="35" t="s">
        <v>205</v>
      </c>
      <c r="B57" s="60">
        <f>-B22*(1-C12)</f>
        <v>-55.891999999999996</v>
      </c>
      <c r="C57" s="60">
        <f ca="1">-C22*(1-C12)</f>
        <v>-87.670215628321941</v>
      </c>
      <c r="D57" s="60">
        <f ca="1">-D22*(1-D12)</f>
        <v>-155.13313934549402</v>
      </c>
      <c r="E57" s="60">
        <f ca="1">-E22*(1-E12)</f>
        <v>-155.24725274665317</v>
      </c>
      <c r="F57" s="60">
        <f ca="1">-F22*(1-F12)</f>
        <v>-149.02980438640202</v>
      </c>
      <c r="G57" s="60">
        <f ca="1">-G22*(1-G12)</f>
        <v>-135.53552601575706</v>
      </c>
      <c r="H57" s="25" t="str">
        <f t="shared" ca="1" si="33"/>
        <v>&lt;--=-G22*(1-G12)</v>
      </c>
    </row>
    <row r="58" spans="1:12" s="21" customFormat="1" ht="14" x14ac:dyDescent="0.3">
      <c r="A58" s="33" t="s">
        <v>125</v>
      </c>
      <c r="B58" s="59">
        <f t="shared" ref="B58:G58" ca="1" si="37">SUM(B51:B57)</f>
        <v>3035.4079999999972</v>
      </c>
      <c r="C58" s="59">
        <f t="shared" ca="1" si="37"/>
        <v>9162.588038670996</v>
      </c>
      <c r="D58" s="59">
        <f t="shared" ca="1" si="37"/>
        <v>5719.5981136965665</v>
      </c>
      <c r="E58" s="59">
        <f t="shared" ca="1" si="37"/>
        <v>5680.2496957220819</v>
      </c>
      <c r="F58" s="59">
        <f t="shared" ca="1" si="37"/>
        <v>5632.5123777085446</v>
      </c>
      <c r="G58" s="59">
        <f t="shared" ca="1" si="37"/>
        <v>5575.6136957071822</v>
      </c>
      <c r="H58" s="26" t="str">
        <f t="shared" ca="1" si="33"/>
        <v>&lt;--=SUM(G51:G57)</v>
      </c>
    </row>
    <row r="59" spans="1:12" s="21" customFormat="1" ht="14" x14ac:dyDescent="0.3"/>
    <row r="60" spans="1:12" s="21" customFormat="1" ht="14" x14ac:dyDescent="0.3">
      <c r="A60" s="24" t="s">
        <v>161</v>
      </c>
    </row>
    <row r="61" spans="1:12" s="21" customFormat="1" ht="14" x14ac:dyDescent="0.3">
      <c r="A61" s="33"/>
      <c r="B61" s="34">
        <v>0</v>
      </c>
      <c r="C61" s="34">
        <v>1</v>
      </c>
      <c r="D61" s="34">
        <v>2</v>
      </c>
      <c r="E61" s="34">
        <v>3</v>
      </c>
      <c r="F61" s="34">
        <v>4</v>
      </c>
      <c r="G61" s="34">
        <v>5</v>
      </c>
    </row>
    <row r="62" spans="1:12" s="21" customFormat="1" ht="14" x14ac:dyDescent="0.3">
      <c r="A62" s="21" t="s">
        <v>162</v>
      </c>
      <c r="B62" s="31"/>
      <c r="C62" s="31">
        <f t="shared" ref="C62:G62" ca="1" si="38">C24-SUM(C21:C22)*(1-C12)</f>
        <v>6732.1684218361024</v>
      </c>
      <c r="D62" s="31">
        <f t="shared" ca="1" si="38"/>
        <v>6949.5757531915124</v>
      </c>
      <c r="E62" s="31">
        <f t="shared" ca="1" si="38"/>
        <v>6920.1581532313858</v>
      </c>
      <c r="F62" s="31">
        <f t="shared" ca="1" si="38"/>
        <v>6880.8827829496677</v>
      </c>
      <c r="G62" s="31">
        <f t="shared" ca="1" si="38"/>
        <v>6830.7731869413747</v>
      </c>
      <c r="H62" s="21" t="str">
        <f ca="1">"&lt;--"&amp;_xlfn.FORMULATEXT(G62)</f>
        <v>&lt;--=G24-SUM(G21:G22)*(1-G12)</v>
      </c>
    </row>
    <row r="63" spans="1:12" s="21" customFormat="1" ht="14" x14ac:dyDescent="0.3">
      <c r="A63" s="21" t="s">
        <v>163</v>
      </c>
      <c r="B63" s="31">
        <f ca="1">B37+B38+B39+(B33-B43)</f>
        <v>40958</v>
      </c>
      <c r="C63" s="31">
        <f t="shared" ref="C63:G63" si="39">C37+C38+C39+(C33-C43)</f>
        <v>37869.200979475085</v>
      </c>
      <c r="D63" s="31">
        <f t="shared" si="39"/>
        <v>38423.871770436323</v>
      </c>
      <c r="E63" s="31">
        <f t="shared" si="39"/>
        <v>38991.696762933403</v>
      </c>
      <c r="F63" s="31">
        <f t="shared" si="39"/>
        <v>39572.987913212921</v>
      </c>
      <c r="G63" s="31">
        <f t="shared" si="39"/>
        <v>40168.064575667202</v>
      </c>
      <c r="H63" s="21" t="str">
        <f ca="1">"&lt;--"&amp;_xlfn.FORMULATEXT(G63)</f>
        <v>&lt;--=G37+G38+G39+(G33-G43)</v>
      </c>
    </row>
    <row r="64" spans="1:12" s="21" customFormat="1" ht="14" x14ac:dyDescent="0.3">
      <c r="A64" s="21" t="s">
        <v>164</v>
      </c>
      <c r="C64" s="56">
        <f ca="1">C62/B63</f>
        <v>0.16436760637326292</v>
      </c>
      <c r="D64" s="56">
        <f t="shared" ref="D64:G64" ca="1" si="40">D62/C63</f>
        <v>0.18351524651809123</v>
      </c>
      <c r="E64" s="56">
        <f t="shared" ca="1" si="40"/>
        <v>0.18010049051214611</v>
      </c>
      <c r="F64" s="56">
        <f t="shared" ca="1" si="40"/>
        <v>0.17647046305229855</v>
      </c>
      <c r="G64" s="56">
        <f t="shared" ca="1" si="40"/>
        <v>0.1726120150927665</v>
      </c>
      <c r="H64" s="21" t="str">
        <f ca="1">"&lt;--"&amp;_xlfn.FORMULATEXT(G64)</f>
        <v>&lt;--=G62/F63</v>
      </c>
    </row>
    <row r="65" spans="1:11" s="21" customFormat="1" ht="14" x14ac:dyDescent="0.3"/>
    <row r="66" spans="1:11" ht="15.5" x14ac:dyDescent="0.35">
      <c r="A66" s="94" t="s">
        <v>126</v>
      </c>
      <c r="B66" s="94"/>
      <c r="C66" s="94"/>
      <c r="D66" s="94"/>
      <c r="E66" s="94"/>
      <c r="F66" s="94"/>
      <c r="G66" s="94"/>
      <c r="H66" s="94"/>
    </row>
    <row r="67" spans="1:11" s="37" customFormat="1" ht="16.5" x14ac:dyDescent="0.4">
      <c r="A67" s="36" t="s">
        <v>127</v>
      </c>
      <c r="B67" s="68">
        <v>3.5000000000000003E-2</v>
      </c>
      <c r="C67" s="36" t="s">
        <v>128</v>
      </c>
      <c r="J67" s="38"/>
      <c r="K67" s="38"/>
    </row>
    <row r="68" spans="1:11" s="37" customFormat="1" ht="14.5" x14ac:dyDescent="0.35">
      <c r="A68" s="36" t="s">
        <v>129</v>
      </c>
      <c r="B68" s="39">
        <f>WACC!B15</f>
        <v>7.4830237763050367E-2</v>
      </c>
      <c r="C68" s="36" t="s">
        <v>128</v>
      </c>
      <c r="J68" s="38"/>
      <c r="K68" s="38"/>
    </row>
    <row r="69" spans="1:11" s="37" customFormat="1" ht="14.5" x14ac:dyDescent="0.35">
      <c r="A69" s="36"/>
      <c r="B69" s="39"/>
      <c r="J69" s="38"/>
      <c r="K69" s="38"/>
    </row>
    <row r="70" spans="1:11" s="37" customFormat="1" ht="14" x14ac:dyDescent="0.3">
      <c r="A70" s="40" t="s">
        <v>58</v>
      </c>
      <c r="B70" s="40">
        <v>0</v>
      </c>
      <c r="C70" s="40">
        <v>1</v>
      </c>
      <c r="D70" s="40">
        <v>2</v>
      </c>
      <c r="E70" s="40">
        <v>3</v>
      </c>
      <c r="F70" s="40">
        <v>4</v>
      </c>
      <c r="G70" s="40">
        <v>5</v>
      </c>
      <c r="J70" s="38"/>
      <c r="K70" s="38"/>
    </row>
    <row r="71" spans="1:11" s="37" customFormat="1" ht="14" x14ac:dyDescent="0.3">
      <c r="A71" s="36" t="s">
        <v>206</v>
      </c>
      <c r="B71" s="41"/>
      <c r="C71" s="41">
        <f ca="1">C58</f>
        <v>9162.588038670996</v>
      </c>
      <c r="D71" s="41">
        <f t="shared" ref="D71:G71" ca="1" si="41">D58</f>
        <v>5719.5981136965665</v>
      </c>
      <c r="E71" s="41">
        <f t="shared" ca="1" si="41"/>
        <v>5680.2496957220819</v>
      </c>
      <c r="F71" s="41">
        <f t="shared" ca="1" si="41"/>
        <v>5632.5123777085446</v>
      </c>
      <c r="G71" s="41">
        <f t="shared" ca="1" si="41"/>
        <v>5575.6136957071822</v>
      </c>
      <c r="H71" s="37" t="str">
        <f ca="1">"&lt;--"&amp;_xlfn.FORMULATEXT(G71)</f>
        <v>&lt;--=G58</v>
      </c>
      <c r="J71" s="38"/>
      <c r="K71" s="38"/>
    </row>
    <row r="72" spans="1:11" s="37" customFormat="1" ht="14" x14ac:dyDescent="0.3">
      <c r="A72" s="36" t="s">
        <v>130</v>
      </c>
      <c r="B72" s="41"/>
      <c r="C72" s="42">
        <v>0.5</v>
      </c>
      <c r="D72" s="42">
        <f>C72+1</f>
        <v>1.5</v>
      </c>
      <c r="E72" s="42">
        <f t="shared" ref="E72:G72" si="42">D72+1</f>
        <v>2.5</v>
      </c>
      <c r="F72" s="42">
        <f t="shared" si="42"/>
        <v>3.5</v>
      </c>
      <c r="G72" s="42">
        <f t="shared" si="42"/>
        <v>4.5</v>
      </c>
      <c r="J72" s="38"/>
      <c r="K72" s="38"/>
    </row>
    <row r="73" spans="1:11" s="37" customFormat="1" ht="14" x14ac:dyDescent="0.3">
      <c r="A73" s="36" t="s">
        <v>131</v>
      </c>
      <c r="B73" s="41"/>
      <c r="C73" s="42">
        <f>1/(1+$B$68)^C70</f>
        <v>0.9303794821414888</v>
      </c>
      <c r="D73" s="42">
        <f t="shared" ref="D73:G73" si="43">1/(1+$B$68)^D70</f>
        <v>0.86560598078986484</v>
      </c>
      <c r="E73" s="42">
        <f t="shared" si="43"/>
        <v>0.80534204414584998</v>
      </c>
      <c r="F73" s="42">
        <f t="shared" si="43"/>
        <v>0.74927371397918385</v>
      </c>
      <c r="G73" s="42">
        <f t="shared" si="43"/>
        <v>0.69710888999418297</v>
      </c>
      <c r="H73" s="37" t="str">
        <f ca="1">"&lt;--"&amp;_xlfn.FORMULATEXT(G73)</f>
        <v>&lt;--=1/(1+$B$68)^G70</v>
      </c>
      <c r="J73" s="38"/>
      <c r="K73" s="38"/>
    </row>
    <row r="74" spans="1:11" s="37" customFormat="1" ht="14" x14ac:dyDescent="0.3">
      <c r="A74" s="36" t="s">
        <v>132</v>
      </c>
      <c r="B74" s="41"/>
      <c r="C74" s="41">
        <f ca="1">C73*C71</f>
        <v>8524.6839144945206</v>
      </c>
      <c r="D74" s="41">
        <f t="shared" ref="D74:G74" ca="1" si="44">D73*D71</f>
        <v>4950.9183349301775</v>
      </c>
      <c r="E74" s="41">
        <f t="shared" ca="1" si="44"/>
        <v>4574.543901211664</v>
      </c>
      <c r="F74" s="41">
        <f t="shared" ca="1" si="44"/>
        <v>4220.2934682794048</v>
      </c>
      <c r="G74" s="41">
        <f t="shared" ca="1" si="44"/>
        <v>3886.8098744507979</v>
      </c>
      <c r="H74" s="37" t="str">
        <f ca="1">"&lt;--"&amp;_xlfn.FORMULATEXT(G74)</f>
        <v>&lt;--=G73*G71</v>
      </c>
      <c r="J74" s="38"/>
      <c r="K74" s="38"/>
    </row>
    <row r="75" spans="1:11" s="37" customFormat="1" ht="14" x14ac:dyDescent="0.3">
      <c r="A75" s="36"/>
      <c r="B75" s="41"/>
      <c r="C75" s="41"/>
      <c r="D75" s="41"/>
      <c r="E75" s="41"/>
      <c r="F75" s="41"/>
      <c r="G75" s="41"/>
      <c r="J75" s="38"/>
      <c r="K75" s="38"/>
    </row>
    <row r="76" spans="1:11" s="37" customFormat="1" ht="14" x14ac:dyDescent="0.3">
      <c r="A76" s="36" t="s">
        <v>207</v>
      </c>
      <c r="B76" s="41">
        <f ca="1">SUM(C74:G74)</f>
        <v>26157.249493366566</v>
      </c>
      <c r="C76" s="41" t="str">
        <f t="shared" ref="C76:C81" ca="1" si="45">"&lt;--"&amp;_xlfn.FORMULATEXT(B76)</f>
        <v>&lt;--=SUM(C74:G74)</v>
      </c>
      <c r="D76" s="41"/>
      <c r="E76" s="41"/>
      <c r="F76" s="41"/>
      <c r="G76" s="41"/>
      <c r="J76" s="38"/>
      <c r="K76" s="38"/>
    </row>
    <row r="77" spans="1:11" s="37" customFormat="1" ht="14" x14ac:dyDescent="0.3">
      <c r="A77" s="36" t="s">
        <v>208</v>
      </c>
      <c r="B77" s="41">
        <f ca="1">(G71*(1+B67)/(B68-B67))*G74</f>
        <v>563136172.19494426</v>
      </c>
      <c r="C77" s="41" t="str">
        <f t="shared" ca="1" si="45"/>
        <v>&lt;--=(G71*(1+B67)/(B68-B67))*G74</v>
      </c>
      <c r="D77" s="41"/>
      <c r="E77" s="41"/>
      <c r="F77" s="41"/>
      <c r="J77" s="38"/>
      <c r="K77" s="38"/>
    </row>
    <row r="78" spans="1:11" s="37" customFormat="1" ht="14" x14ac:dyDescent="0.3">
      <c r="A78" s="43" t="s">
        <v>133</v>
      </c>
      <c r="B78" s="44">
        <f ca="1">SUM(B76:B77)</f>
        <v>563162329.44443762</v>
      </c>
      <c r="C78" s="44" t="str">
        <f t="shared" ca="1" si="45"/>
        <v>&lt;--=SUM(B76:B77)</v>
      </c>
      <c r="D78" s="41"/>
      <c r="E78" s="41"/>
      <c r="F78" s="41"/>
      <c r="J78" s="38"/>
      <c r="K78" s="38"/>
    </row>
    <row r="79" spans="1:11" s="37" customFormat="1" ht="14" x14ac:dyDescent="0.3">
      <c r="A79" s="36" t="s">
        <v>134</v>
      </c>
      <c r="B79" s="41">
        <f>SUM(B38,B40)</f>
        <v>10031.700000000001</v>
      </c>
      <c r="C79" s="41" t="str">
        <f t="shared" ca="1" si="45"/>
        <v>&lt;--=SUM(B38,B40)</v>
      </c>
      <c r="D79" s="41"/>
      <c r="E79" s="41"/>
      <c r="F79" s="41"/>
      <c r="J79" s="38"/>
      <c r="K79" s="38"/>
    </row>
    <row r="80" spans="1:11" s="37" customFormat="1" ht="14" x14ac:dyDescent="0.3">
      <c r="A80" s="36" t="s">
        <v>135</v>
      </c>
      <c r="B80" s="41">
        <f>-(B44-B32)</f>
        <v>-33992</v>
      </c>
      <c r="C80" s="41" t="str">
        <f t="shared" ca="1" si="45"/>
        <v>&lt;--=-(B44-B32)</v>
      </c>
      <c r="D80" s="41"/>
      <c r="E80" s="41"/>
      <c r="F80" s="41"/>
      <c r="J80" s="38"/>
      <c r="K80" s="38"/>
    </row>
    <row r="81" spans="1:11" s="37" customFormat="1" ht="14" x14ac:dyDescent="0.3">
      <c r="A81" s="43" t="s">
        <v>136</v>
      </c>
      <c r="B81" s="44">
        <f ca="1">SUM(B78:B80)</f>
        <v>563138369.14443767</v>
      </c>
      <c r="C81" s="45" t="str">
        <f t="shared" ca="1" si="45"/>
        <v>&lt;--=SUM(B78:B80)</v>
      </c>
      <c r="D81" s="36"/>
      <c r="E81" s="36"/>
      <c r="F81" s="36"/>
      <c r="J81" s="38"/>
      <c r="K81" s="38"/>
    </row>
    <row r="82" spans="1:11" s="37" customFormat="1" ht="14" x14ac:dyDescent="0.3">
      <c r="A82" s="43" t="s">
        <v>157</v>
      </c>
      <c r="B82" s="74">
        <f ca="1">B81/WACC!B2</f>
        <v>593.20808707844401</v>
      </c>
      <c r="C82" s="45" t="str">
        <f ca="1">"&lt;--"&amp;_xlfn.FORMULATEXT(B82)</f>
        <v>&lt;--=B81/WACC!B2</v>
      </c>
      <c r="D82" s="36"/>
      <c r="E82" s="36"/>
      <c r="F82" s="36"/>
      <c r="J82" s="38"/>
      <c r="K82" s="38"/>
    </row>
    <row r="84" spans="1:11" ht="13.5" thickBot="1" x14ac:dyDescent="0.35">
      <c r="A84" s="46" t="str">
        <f>"Data table:  The effect of short-term growth rate (cell "&amp;{"C3"}&amp;"), and long-term growth rate (cell "&amp;{"B61"}&amp;") on equity valuation"</f>
        <v>Data table:  The effect of short-term growth rate (cell C3), and long-term growth rate (cell B61) on equity valuation</v>
      </c>
    </row>
    <row r="85" spans="1:11" x14ac:dyDescent="0.25">
      <c r="B85" s="47"/>
      <c r="C85" s="98" t="str">
        <f ca="1">"Data table header, "&amp;CHAR(10)&amp;_xlfn.FORMULATEXT(A87)</f>
        <v>Data table header, 
=B81</v>
      </c>
      <c r="D85" s="99"/>
    </row>
    <row r="86" spans="1:11" ht="13" thickBot="1" x14ac:dyDescent="0.3">
      <c r="A86" s="20" t="s">
        <v>209</v>
      </c>
      <c r="B86" s="47"/>
      <c r="C86" s="100"/>
      <c r="D86" s="101"/>
    </row>
    <row r="87" spans="1:11" ht="13" x14ac:dyDescent="0.3">
      <c r="A87" s="69">
        <f ca="1">B81</f>
        <v>563138369.14443767</v>
      </c>
      <c r="B87" s="70">
        <v>0</v>
      </c>
      <c r="C87" s="70">
        <v>0.02</v>
      </c>
      <c r="D87" s="70">
        <v>0.04</v>
      </c>
      <c r="E87" s="71">
        <v>5.5E-2</v>
      </c>
      <c r="F87" s="70">
        <v>0.06</v>
      </c>
      <c r="G87" s="70">
        <v>7.0000000000000007E-2</v>
      </c>
    </row>
    <row r="88" spans="1:11" ht="13" x14ac:dyDescent="0.3">
      <c r="A88" s="70">
        <v>0</v>
      </c>
      <c r="B88" s="47">
        <f t="dataTable" ref="B88:G96" dt2D="1" dtr="1" r1="B67" r2="C3" ca="1"/>
        <v>303877099.46958441</v>
      </c>
      <c r="C88" s="47">
        <v>423013052.51057464</v>
      </c>
      <c r="D88" s="47">
        <v>678968000.41628027</v>
      </c>
      <c r="E88" s="73">
        <v>1209750995.2292063</v>
      </c>
      <c r="F88" s="47">
        <v>1625282609.4284825</v>
      </c>
      <c r="G88" s="47">
        <v>5037160496.9600658</v>
      </c>
      <c r="H88" s="20" t="str">
        <f ca="1">"&lt;--"&amp;_xlfn.FORMULATEXT(G88)</f>
        <v>&lt;--{=TABLE(B67,C3)}</v>
      </c>
    </row>
    <row r="89" spans="1:11" ht="13" x14ac:dyDescent="0.3">
      <c r="A89" s="70">
        <v>0.02</v>
      </c>
      <c r="B89" s="47">
        <v>292264098.02167374</v>
      </c>
      <c r="C89" s="47">
        <v>406847484.1033935</v>
      </c>
      <c r="D89" s="47">
        <v>653021572.33446884</v>
      </c>
      <c r="E89" s="73">
        <v>1163521646.139523</v>
      </c>
      <c r="F89" s="47">
        <v>1563174464.3158636</v>
      </c>
      <c r="G89" s="47">
        <v>4844673552.3049002</v>
      </c>
    </row>
    <row r="90" spans="1:11" ht="13" x14ac:dyDescent="0.3">
      <c r="A90" s="70">
        <v>0.04</v>
      </c>
      <c r="B90" s="47">
        <v>276089517.42676747</v>
      </c>
      <c r="C90" s="47">
        <v>384331973.24713814</v>
      </c>
      <c r="D90" s="47">
        <v>616883033.05320954</v>
      </c>
      <c r="E90" s="73">
        <v>1099132542.1201725</v>
      </c>
      <c r="F90" s="47">
        <v>1476668972.088187</v>
      </c>
      <c r="G90" s="47">
        <v>4576573174.6304007</v>
      </c>
    </row>
    <row r="91" spans="1:11" ht="13" x14ac:dyDescent="0.3">
      <c r="A91" s="72">
        <v>4.929666159464996E-2</v>
      </c>
      <c r="B91" s="73">
        <v>266988568.89378968</v>
      </c>
      <c r="C91" s="73">
        <v>371663145.57835013</v>
      </c>
      <c r="D91" s="73">
        <v>596548876.02724636</v>
      </c>
      <c r="E91" s="73">
        <v>1062902515.5057544</v>
      </c>
      <c r="F91" s="73">
        <v>1427994619.9890769</v>
      </c>
      <c r="G91" s="73">
        <v>4425720029.1600933</v>
      </c>
    </row>
    <row r="92" spans="1:11" ht="13" x14ac:dyDescent="0.3">
      <c r="A92" s="70">
        <v>0.06</v>
      </c>
      <c r="B92" s="47">
        <v>255271775.5477998</v>
      </c>
      <c r="C92" s="47">
        <v>355352955.34943849</v>
      </c>
      <c r="D92" s="47">
        <v>570370105.99628305</v>
      </c>
      <c r="E92" s="73">
        <v>1016258916.0790594</v>
      </c>
      <c r="F92" s="47">
        <v>1365329814.7659938</v>
      </c>
      <c r="G92" s="47">
        <v>4231507115.6333313</v>
      </c>
    </row>
    <row r="93" spans="1:11" ht="13" x14ac:dyDescent="0.3">
      <c r="A93" s="70">
        <v>7.0000000000000007E-2</v>
      </c>
      <c r="B93" s="47">
        <v>243147924.79185268</v>
      </c>
      <c r="C93" s="47">
        <v>338476111.83895183</v>
      </c>
      <c r="D93" s="47">
        <v>543281802.53746462</v>
      </c>
      <c r="E93" s="73">
        <v>967994740.31483603</v>
      </c>
      <c r="F93" s="47">
        <v>1300487782.3501196</v>
      </c>
      <c r="G93" s="47">
        <v>4030546384.6644511</v>
      </c>
    </row>
    <row r="94" spans="1:11" ht="13" x14ac:dyDescent="0.3">
      <c r="A94" s="70">
        <v>0.08</v>
      </c>
      <c r="B94" s="47">
        <v>229924081.31651884</v>
      </c>
      <c r="C94" s="47">
        <v>320068026.28091347</v>
      </c>
      <c r="D94" s="47">
        <v>513735749.15075004</v>
      </c>
      <c r="E94" s="73">
        <v>915351481.85899985</v>
      </c>
      <c r="F94" s="47">
        <v>1229762522.3990273</v>
      </c>
      <c r="G94" s="47">
        <v>3811352081.79141</v>
      </c>
    </row>
    <row r="95" spans="1:11" ht="13" x14ac:dyDescent="0.3">
      <c r="A95" s="70">
        <v>0.09</v>
      </c>
      <c r="B95" s="47">
        <v>215654621.78148416</v>
      </c>
      <c r="C95" s="47">
        <v>300204394.44318485</v>
      </c>
      <c r="D95" s="47">
        <v>481853444.1605196</v>
      </c>
      <c r="E95" s="73">
        <v>858545621.44715989</v>
      </c>
      <c r="F95" s="47">
        <v>1153444874.086792</v>
      </c>
      <c r="G95" s="47">
        <v>3574825593.9860663</v>
      </c>
    </row>
    <row r="96" spans="1:11" ht="13" x14ac:dyDescent="0.3">
      <c r="A96" s="70">
        <v>0.1</v>
      </c>
      <c r="B96" s="47">
        <v>200414125.07480669</v>
      </c>
      <c r="C96" s="47">
        <v>278989034.76313913</v>
      </c>
      <c r="D96" s="47">
        <v>447801525.05356455</v>
      </c>
      <c r="E96" s="73">
        <v>797874066.6915946</v>
      </c>
      <c r="F96" s="47">
        <v>1071933728.9928772</v>
      </c>
      <c r="G96" s="47">
        <v>3322203190.3717976</v>
      </c>
    </row>
    <row r="107" spans="1:10" ht="13.5" thickBot="1" x14ac:dyDescent="0.35">
      <c r="A107" s="46" t="s">
        <v>137</v>
      </c>
    </row>
    <row r="108" spans="1:10" ht="13.5" thickBot="1" x14ac:dyDescent="0.35">
      <c r="C108" s="95" t="str">
        <f ca="1">"Data table header, "&amp;_xlfn.FORMULATEXT(A109)</f>
        <v>Data table header, =IF(B68&lt;=B67,"NA",B81)</v>
      </c>
      <c r="D108" s="96"/>
      <c r="E108" s="96"/>
      <c r="F108" s="97"/>
    </row>
    <row r="109" spans="1:10" ht="14.5" x14ac:dyDescent="0.35">
      <c r="A109" s="48">
        <f ca="1">IF(B68&lt;=B67,"NA",B81)</f>
        <v>563138369.14443767</v>
      </c>
      <c r="B109" s="49">
        <v>0.08</v>
      </c>
      <c r="C109" s="49">
        <v>0.1</v>
      </c>
      <c r="D109" s="49">
        <v>0.12</v>
      </c>
      <c r="E109" s="49">
        <v>0.16</v>
      </c>
      <c r="F109" s="49">
        <v>0.18</v>
      </c>
      <c r="G109" s="49">
        <v>0.2</v>
      </c>
      <c r="H109" s="49"/>
      <c r="I109" s="49"/>
      <c r="J109" s="49"/>
    </row>
    <row r="110" spans="1:10" ht="14.5" x14ac:dyDescent="0.35">
      <c r="A110" s="49">
        <v>0</v>
      </c>
      <c r="B110" s="50">
        <f t="dataTable" ref="B110:G118" dt2D="1" dtr="1" r1="B68" r2="B67" ca="1"/>
        <v>264471976.31200224</v>
      </c>
      <c r="C110" s="50">
        <v>193029391.15218249</v>
      </c>
      <c r="D110" s="51">
        <v>146998435.50852615</v>
      </c>
      <c r="E110" s="50">
        <v>92504769.648610994</v>
      </c>
      <c r="F110" s="50">
        <v>75489038.56100519</v>
      </c>
      <c r="G110" s="50">
        <v>62462672.293475017</v>
      </c>
      <c r="H110" s="52"/>
      <c r="I110" s="52"/>
      <c r="J110" s="52"/>
    </row>
    <row r="111" spans="1:10" ht="14.5" x14ac:dyDescent="0.35">
      <c r="A111" s="49">
        <v>0.02</v>
      </c>
      <c r="B111" s="50">
        <v>359681214.18458033</v>
      </c>
      <c r="C111" s="50">
        <v>246112288.63827896</v>
      </c>
      <c r="D111" s="51">
        <v>179926182.14029467</v>
      </c>
      <c r="E111" s="50">
        <v>107834530.25423837</v>
      </c>
      <c r="F111" s="50">
        <v>86624156.751451805</v>
      </c>
      <c r="G111" s="50">
        <v>70791576.422568142</v>
      </c>
      <c r="H111" s="52"/>
      <c r="I111" s="52"/>
      <c r="J111" s="52"/>
    </row>
    <row r="112" spans="1:10" ht="14.5" x14ac:dyDescent="0.35">
      <c r="A112" s="49">
        <v>0.03</v>
      </c>
      <c r="B112" s="51">
        <v>435848604.48264265</v>
      </c>
      <c r="C112" s="51">
        <v>284028643.98549074</v>
      </c>
      <c r="D112" s="51">
        <v>201878013.22814032</v>
      </c>
      <c r="E112" s="51">
        <v>117268229.08847059</v>
      </c>
      <c r="F112" s="51">
        <v>93305227.665719807</v>
      </c>
      <c r="G112" s="51">
        <v>75690931.792622924</v>
      </c>
      <c r="H112" s="52"/>
      <c r="I112" s="52"/>
      <c r="J112" s="52"/>
    </row>
    <row r="113" spans="1:10" ht="14.5" x14ac:dyDescent="0.35">
      <c r="A113" s="49">
        <v>0.05</v>
      </c>
      <c r="B113" s="50">
        <v>740518165.67489231</v>
      </c>
      <c r="C113" s="50">
        <v>405360981.09656817</v>
      </c>
      <c r="D113" s="51">
        <v>264597530.62198508</v>
      </c>
      <c r="E113" s="50">
        <v>141281280.66651621</v>
      </c>
      <c r="F113" s="50">
        <v>109750940.68545637</v>
      </c>
      <c r="G113" s="50">
        <v>87449384.680754378</v>
      </c>
      <c r="H113" s="52"/>
      <c r="I113" s="52"/>
      <c r="J113" s="52"/>
    </row>
    <row r="114" spans="1:10" ht="14.5" x14ac:dyDescent="0.35">
      <c r="A114" s="49">
        <v>7.0000000000000007E-2</v>
      </c>
      <c r="B114" s="50">
        <v>2263865971.6361408</v>
      </c>
      <c r="C114" s="50">
        <v>688469767.6890825</v>
      </c>
      <c r="D114" s="51">
        <v>377492661.9309057</v>
      </c>
      <c r="E114" s="50">
        <v>175966799.61258224</v>
      </c>
      <c r="F114" s="50">
        <v>132176912.98509718</v>
      </c>
      <c r="G114" s="50">
        <v>102825823.07292631</v>
      </c>
      <c r="H114" s="52"/>
      <c r="I114" s="52"/>
      <c r="J114" s="52"/>
    </row>
    <row r="115" spans="1:10" ht="14.5" x14ac:dyDescent="0.35">
      <c r="A115" s="49">
        <v>0.09</v>
      </c>
      <c r="B115" s="50" t="str">
        <v>NA</v>
      </c>
      <c r="C115" s="50">
        <v>2104013700.6516511</v>
      </c>
      <c r="D115" s="51">
        <v>640914634.98505342</v>
      </c>
      <c r="E115" s="50">
        <v>230472615.09925726</v>
      </c>
      <c r="F115" s="50">
        <v>164569984.08457828</v>
      </c>
      <c r="G115" s="50">
        <v>123793693.60770619</v>
      </c>
      <c r="H115" s="52"/>
      <c r="I115" s="52"/>
      <c r="J115" s="52"/>
    </row>
    <row r="116" spans="1:10" ht="14.5" x14ac:dyDescent="0.35">
      <c r="A116" s="49">
        <v>0.1</v>
      </c>
      <c r="B116" s="50" t="str">
        <v>NA</v>
      </c>
      <c r="C116" s="50" t="str">
        <v>NA</v>
      </c>
      <c r="D116" s="51">
        <v>970192101.30273879</v>
      </c>
      <c r="E116" s="50">
        <v>271351976.71426362</v>
      </c>
      <c r="F116" s="50">
        <v>186840220.4654716</v>
      </c>
      <c r="G116" s="50">
        <v>137422809.45531312</v>
      </c>
      <c r="H116" s="52"/>
      <c r="I116" s="52"/>
      <c r="J116" s="52"/>
    </row>
    <row r="117" spans="1:10" ht="14.5" x14ac:dyDescent="0.35">
      <c r="A117" s="49">
        <v>0.12</v>
      </c>
      <c r="B117" s="50" t="str">
        <v>NA</v>
      </c>
      <c r="C117" s="50" t="str">
        <v>NA</v>
      </c>
      <c r="D117" s="51" t="str">
        <v>NA</v>
      </c>
      <c r="E117" s="50">
        <v>414429742.36678565</v>
      </c>
      <c r="F117" s="50">
        <v>253650929.60815141</v>
      </c>
      <c r="G117" s="50">
        <v>174902878.03623214</v>
      </c>
      <c r="H117" s="52"/>
      <c r="I117" s="52"/>
      <c r="J117" s="52"/>
    </row>
    <row r="118" spans="1:10" ht="14.5" x14ac:dyDescent="0.35">
      <c r="A118" s="49">
        <v>0.14000000000000001</v>
      </c>
      <c r="B118" s="50" t="str">
        <v>NA</v>
      </c>
      <c r="C118" s="50" t="str">
        <v>NA</v>
      </c>
      <c r="D118" s="51" t="str">
        <v>NA</v>
      </c>
      <c r="E118" s="50">
        <v>843663039.3243525</v>
      </c>
      <c r="F118" s="50">
        <v>387272347.8935113</v>
      </c>
      <c r="G118" s="50">
        <v>237369659.00443065</v>
      </c>
      <c r="H118" s="52"/>
      <c r="I118" s="52"/>
      <c r="J118" s="52"/>
    </row>
    <row r="119" spans="1:10" ht="13" x14ac:dyDescent="0.3">
      <c r="B119" s="46"/>
    </row>
  </sheetData>
  <mergeCells count="4">
    <mergeCell ref="A1:H1"/>
    <mergeCell ref="A66:H66"/>
    <mergeCell ref="C108:F108"/>
    <mergeCell ref="C85:D86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93587-BA34-4C36-85C9-15C078E77749}">
  <sheetPr codeName="Sheet13"/>
  <dimension ref="A1:K46"/>
  <sheetViews>
    <sheetView zoomScale="79" workbookViewId="0">
      <selection activeCell="C16" sqref="C16"/>
    </sheetView>
  </sheetViews>
  <sheetFormatPr defaultRowHeight="14.5" x14ac:dyDescent="0.35"/>
  <cols>
    <col min="1" max="1" width="26.36328125" bestFit="1" customWidth="1"/>
    <col min="2" max="2" width="12.7265625" customWidth="1"/>
    <col min="3" max="3" width="60.453125" bestFit="1" customWidth="1"/>
    <col min="10" max="10" width="39.54296875" bestFit="1" customWidth="1"/>
    <col min="11" max="11" width="9.1796875" bestFit="1" customWidth="1"/>
  </cols>
  <sheetData>
    <row r="1" spans="1:10" ht="18" x14ac:dyDescent="0.4">
      <c r="A1" s="102" t="s">
        <v>232</v>
      </c>
      <c r="B1" s="102"/>
      <c r="C1" s="102"/>
    </row>
    <row r="2" spans="1:10" x14ac:dyDescent="0.35">
      <c r="A2" s="61" t="s">
        <v>160</v>
      </c>
      <c r="B2" s="63">
        <v>949310</v>
      </c>
      <c r="C2" s="62"/>
    </row>
    <row r="3" spans="1:10" x14ac:dyDescent="0.35">
      <c r="A3" s="61" t="s">
        <v>233</v>
      </c>
      <c r="B3" s="61">
        <v>362.27</v>
      </c>
      <c r="C3" s="62"/>
    </row>
    <row r="4" spans="1:10" x14ac:dyDescent="0.35">
      <c r="A4" s="62" t="s">
        <v>146</v>
      </c>
      <c r="B4" s="63">
        <f>B2*B3</f>
        <v>343906533.69999999</v>
      </c>
      <c r="C4" s="62" t="str">
        <f ca="1">"&lt;--"&amp;_xlfn.FORMULATEXT(B4)</f>
        <v>&lt;--=B2*B3</v>
      </c>
    </row>
    <row r="5" spans="1:10" x14ac:dyDescent="0.35">
      <c r="A5" s="62" t="s">
        <v>147</v>
      </c>
      <c r="B5" s="63">
        <f>'LLY Balance Sheet'!L14</f>
        <v>33992</v>
      </c>
      <c r="C5" s="62"/>
    </row>
    <row r="6" spans="1:10" ht="15.5" x14ac:dyDescent="0.4">
      <c r="A6" s="62" t="s">
        <v>148</v>
      </c>
      <c r="B6" s="67">
        <f>B11+'Interest Rate on Debt Analysis'!B7</f>
        <v>6.0497881439297983E-2</v>
      </c>
      <c r="C6" s="62"/>
      <c r="J6" s="9"/>
    </row>
    <row r="7" spans="1:10" ht="15.5" x14ac:dyDescent="0.4">
      <c r="A7" s="62" t="s">
        <v>149</v>
      </c>
      <c r="B7" s="64">
        <f>'LLY pro-forma'!C12</f>
        <v>0.11</v>
      </c>
      <c r="C7" s="62"/>
    </row>
    <row r="8" spans="1:10" x14ac:dyDescent="0.35">
      <c r="A8" s="65" t="s">
        <v>247</v>
      </c>
      <c r="B8" s="85">
        <f>B6*(1-B7)</f>
        <v>5.3843114480975209E-2</v>
      </c>
      <c r="C8" s="62"/>
    </row>
    <row r="9" spans="1:10" x14ac:dyDescent="0.35">
      <c r="A9" s="62"/>
      <c r="B9" s="62"/>
      <c r="C9" s="62"/>
    </row>
    <row r="10" spans="1:10" x14ac:dyDescent="0.35">
      <c r="A10" s="65" t="s">
        <v>150</v>
      </c>
      <c r="B10" s="62"/>
      <c r="C10" s="62"/>
    </row>
    <row r="11" spans="1:10" ht="15.5" x14ac:dyDescent="0.4">
      <c r="A11" s="62" t="s">
        <v>151</v>
      </c>
      <c r="B11" s="64">
        <v>3.8800000000000001E-2</v>
      </c>
      <c r="C11" s="62" t="s">
        <v>156</v>
      </c>
    </row>
    <row r="12" spans="1:10" ht="15.5" x14ac:dyDescent="0.4">
      <c r="A12" s="62" t="s">
        <v>152</v>
      </c>
      <c r="B12" s="64">
        <f>'E(rM)'!B5</f>
        <v>0.14798882468876806</v>
      </c>
      <c r="C12" s="62" t="s">
        <v>153</v>
      </c>
    </row>
    <row r="13" spans="1:10" x14ac:dyDescent="0.35">
      <c r="A13" s="62" t="s">
        <v>154</v>
      </c>
      <c r="B13" s="61">
        <v>0.33</v>
      </c>
      <c r="C13" s="62" t="s">
        <v>239</v>
      </c>
    </row>
    <row r="14" spans="1:10" ht="15" x14ac:dyDescent="0.4">
      <c r="A14" s="65" t="s">
        <v>248</v>
      </c>
      <c r="B14" s="85">
        <f>B11+B13*(B12-B11)</f>
        <v>7.4832312147293467E-2</v>
      </c>
      <c r="C14" s="62" t="str">
        <f ca="1">"&lt;--"&amp;_xlfn.FORMULATEXT(B14)</f>
        <v>&lt;--=B11+B13*(B12-B11)</v>
      </c>
    </row>
    <row r="15" spans="1:10" x14ac:dyDescent="0.35">
      <c r="A15" s="86" t="s">
        <v>155</v>
      </c>
      <c r="B15" s="87">
        <f>$B$5/SUM($B$4:$B$5)*$B$8+$B$4/SUM($B$4:$B$5)*B14</f>
        <v>7.4830237763050367E-2</v>
      </c>
      <c r="C15" s="62" t="str">
        <f ca="1">"&lt;--"&amp;_xlfn.FORMULATEXT(B15)</f>
        <v>&lt;--=$B$5/SUM($B$4:$B$5)*$B$8+$B$4/SUM($B$4:$B$5)*B14</v>
      </c>
    </row>
    <row r="19" spans="10:11" x14ac:dyDescent="0.35">
      <c r="K19" s="66"/>
    </row>
    <row r="20" spans="10:11" x14ac:dyDescent="0.35">
      <c r="K20" s="66"/>
    </row>
    <row r="22" spans="10:11" x14ac:dyDescent="0.35">
      <c r="K22" s="13"/>
    </row>
    <row r="23" spans="10:11" x14ac:dyDescent="0.35">
      <c r="K23" s="13"/>
    </row>
    <row r="27" spans="10:11" x14ac:dyDescent="0.35">
      <c r="J27" s="9"/>
    </row>
    <row r="30" spans="10:11" x14ac:dyDescent="0.35">
      <c r="K30" s="13"/>
    </row>
    <row r="31" spans="10:11" x14ac:dyDescent="0.35">
      <c r="K31" s="13"/>
    </row>
    <row r="36" spans="10:11" x14ac:dyDescent="0.35">
      <c r="J36" s="4"/>
    </row>
    <row r="41" spans="10:11" x14ac:dyDescent="0.35">
      <c r="K41" s="13"/>
    </row>
    <row r="42" spans="10:11" x14ac:dyDescent="0.35">
      <c r="K42" s="13"/>
    </row>
    <row r="45" spans="10:11" x14ac:dyDescent="0.35">
      <c r="K45" s="13"/>
    </row>
    <row r="46" spans="10:11" x14ac:dyDescent="0.35">
      <c r="K46" s="13"/>
    </row>
  </sheetData>
  <mergeCells count="1">
    <mergeCell ref="A1:C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E0EE5-DBA5-40D8-B526-CCBF44AF6EE2}">
  <dimension ref="A1:E5"/>
  <sheetViews>
    <sheetView workbookViewId="0">
      <selection activeCell="C12" sqref="C12"/>
    </sheetView>
  </sheetViews>
  <sheetFormatPr defaultRowHeight="14.5" x14ac:dyDescent="0.35"/>
  <cols>
    <col min="1" max="1" width="42.453125" bestFit="1" customWidth="1"/>
    <col min="2" max="2" width="8.81640625" customWidth="1"/>
    <col min="3" max="3" width="38.90625" bestFit="1" customWidth="1"/>
  </cols>
  <sheetData>
    <row r="1" spans="1:5" ht="18" x14ac:dyDescent="0.35">
      <c r="A1" s="103" t="s">
        <v>234</v>
      </c>
      <c r="B1" s="103"/>
      <c r="C1" s="103"/>
    </row>
    <row r="2" spans="1:5" x14ac:dyDescent="0.35">
      <c r="A2" s="37" t="s">
        <v>238</v>
      </c>
      <c r="B2" s="78">
        <v>362.27</v>
      </c>
      <c r="C2" s="37"/>
    </row>
    <row r="3" spans="1:5" x14ac:dyDescent="0.35">
      <c r="A3" s="37" t="s">
        <v>235</v>
      </c>
      <c r="B3" s="39">
        <v>0.81879999999999997</v>
      </c>
      <c r="C3" s="37" t="s">
        <v>250</v>
      </c>
    </row>
    <row r="4" spans="1:5" x14ac:dyDescent="0.35">
      <c r="A4" s="37" t="s">
        <v>236</v>
      </c>
      <c r="B4" s="39">
        <v>0.1454</v>
      </c>
      <c r="C4" s="37" t="s">
        <v>249</v>
      </c>
      <c r="E4" s="88"/>
    </row>
    <row r="5" spans="1:5" ht="15.5" x14ac:dyDescent="0.4">
      <c r="A5" s="79" t="s">
        <v>237</v>
      </c>
      <c r="B5" s="80">
        <f>B3*(1+B4)/B2+B4</f>
        <v>0.14798882468876806</v>
      </c>
      <c r="C5" s="37" t="str">
        <f ca="1">getformula(B5)</f>
        <v>&lt;-- =B3*(1+B4)/B2+B4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LLY Income Statement</vt:lpstr>
      <vt:lpstr>LLY Balance Sheet</vt:lpstr>
      <vt:lpstr>LLY Cash-flows</vt:lpstr>
      <vt:lpstr>YoY sales growth</vt:lpstr>
      <vt:lpstr>Operating costs analysis</vt:lpstr>
      <vt:lpstr>Fixed asset analysis</vt:lpstr>
      <vt:lpstr>NWC analysis</vt:lpstr>
      <vt:lpstr>Depreciation analysis</vt:lpstr>
      <vt:lpstr>Dividend analysis</vt:lpstr>
      <vt:lpstr>Liabilities analysis</vt:lpstr>
      <vt:lpstr>Interest Rate on Debt Analysis</vt:lpstr>
      <vt:lpstr>Tax rate analysis</vt:lpstr>
      <vt:lpstr>rf</vt:lpstr>
      <vt:lpstr>Cash and Equivalents</vt:lpstr>
      <vt:lpstr>LLY pro-forma</vt:lpstr>
      <vt:lpstr>WACC</vt:lpstr>
      <vt:lpstr>E(rM)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 Mofkadi</dc:creator>
  <cp:lastModifiedBy>vinay kedia</cp:lastModifiedBy>
  <dcterms:created xsi:type="dcterms:W3CDTF">2019-04-20T15:06:28Z</dcterms:created>
  <dcterms:modified xsi:type="dcterms:W3CDTF">2023-12-05T23:35:16Z</dcterms:modified>
</cp:coreProperties>
</file>