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ay\Desktop\MSQF\FM\Project\"/>
    </mc:Choice>
  </mc:AlternateContent>
  <xr:revisionPtr revIDLastSave="0" documentId="13_ncr:1_{E06B6FD2-BE9F-4D7D-9824-493BF5CA4A52}" xr6:coauthVersionLast="47" xr6:coauthVersionMax="47" xr10:uidLastSave="{00000000-0000-0000-0000-000000000000}"/>
  <bookViews>
    <workbookView xWindow="-110" yWindow="-110" windowWidth="19420" windowHeight="10300" xr2:uid="{43069FE1-839A-4769-A154-C9429FD43F72}"/>
  </bookViews>
  <sheets>
    <sheet name="GOOGL Income Statement" sheetId="1" r:id="rId1"/>
    <sheet name="GOOGL Balance Sheet" sheetId="2" r:id="rId2"/>
    <sheet name="GOOGL Cash-flows" sheetId="3" r:id="rId3"/>
    <sheet name="YoY sales growth" sheetId="4" r:id="rId4"/>
    <sheet name="Operating costs analysis" sheetId="8" r:id="rId5"/>
    <sheet name="NWC analysis" sheetId="5" r:id="rId6"/>
    <sheet name="Fixed asset analysis" sheetId="6" r:id="rId7"/>
    <sheet name="Depreciation analysis" sheetId="7" r:id="rId8"/>
    <sheet name="Dividend analysis" sheetId="9" r:id="rId9"/>
    <sheet name="Liabilities analysis" sheetId="10" r:id="rId10"/>
    <sheet name="Interest Rate on Debt Analysis" sheetId="19" r:id="rId11"/>
    <sheet name="Tax rate analysis" sheetId="11" r:id="rId12"/>
    <sheet name="rf" sheetId="17" r:id="rId13"/>
    <sheet name="Cash and Cash Equivalents" sheetId="13" r:id="rId14"/>
    <sheet name="GOOGL pro-forma" sheetId="14" r:id="rId15"/>
    <sheet name="WACC" sheetId="15" r:id="rId16"/>
    <sheet name="E(rM)" sheetId="18" r:id="rId17"/>
  </sheets>
  <functionGroups builtInGroupCount="19"/>
  <externalReferences>
    <externalReference r:id="rId18"/>
  </externalReferences>
  <definedNames>
    <definedName name="solver_eng" localSheetId="14" hidden="1">1</definedName>
    <definedName name="solver_neg" localSheetId="14" hidden="1">1</definedName>
    <definedName name="solver_num" localSheetId="14" hidden="1">0</definedName>
    <definedName name="solver_opt" localSheetId="14" hidden="1">'GOOGL pro-forma'!$A$109</definedName>
    <definedName name="solver_typ" localSheetId="14" hidden="1">1</definedName>
    <definedName name="solver_val" localSheetId="14" hidden="1">0</definedName>
    <definedName name="solver_ver" localSheetId="14" hidden="1">3</definedName>
  </definedNames>
  <calcPr calcId="191029" iterate="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0" l="1"/>
  <c r="B15" i="15"/>
  <c r="B8" i="15"/>
  <c r="B6" i="15"/>
  <c r="E6" i="14"/>
  <c r="F6" i="14"/>
  <c r="G6" i="14"/>
  <c r="D6" i="14"/>
  <c r="C6" i="14"/>
  <c r="F5" i="19"/>
  <c r="C7" i="19"/>
  <c r="C2" i="19"/>
  <c r="D2" i="19"/>
  <c r="E2" i="19"/>
  <c r="B2" i="19"/>
  <c r="C4" i="19"/>
  <c r="D4" i="19"/>
  <c r="E4" i="19"/>
  <c r="B4" i="19"/>
  <c r="C3" i="19"/>
  <c r="D3" i="19"/>
  <c r="E3" i="19"/>
  <c r="B3" i="19"/>
  <c r="B5" i="19"/>
  <c r="C5" i="19"/>
  <c r="D5" i="19"/>
  <c r="E5" i="19"/>
  <c r="B7" i="19"/>
  <c r="A3" i="19"/>
  <c r="B4" i="15"/>
  <c r="B7" i="15"/>
  <c r="B12" i="15"/>
  <c r="B14" i="15"/>
  <c r="B68" i="14"/>
  <c r="C68" i="14"/>
  <c r="B5" i="18"/>
  <c r="C2" i="18"/>
  <c r="C13" i="10"/>
  <c r="D13" i="10"/>
  <c r="E13" i="10"/>
  <c r="B13" i="10"/>
  <c r="E12" i="10"/>
  <c r="C12" i="10"/>
  <c r="D12" i="10"/>
  <c r="B12" i="10"/>
  <c r="F13" i="7"/>
  <c r="C13" i="7"/>
  <c r="D13" i="7"/>
  <c r="E13" i="7"/>
  <c r="B13" i="7"/>
  <c r="C12" i="7"/>
  <c r="D12" i="7"/>
  <c r="E12" i="7"/>
  <c r="B12" i="7"/>
  <c r="C21" i="14"/>
  <c r="C17" i="14"/>
  <c r="D3" i="14"/>
  <c r="D17" i="14"/>
  <c r="D18" i="14"/>
  <c r="D19" i="14"/>
  <c r="B19" i="14"/>
  <c r="C18" i="14"/>
  <c r="C19" i="14"/>
  <c r="C5" i="18"/>
  <c r="C5" i="15"/>
  <c r="E7" i="3"/>
  <c r="D7" i="3"/>
  <c r="C7" i="3"/>
  <c r="B7" i="3"/>
  <c r="E30" i="2"/>
  <c r="D30" i="2"/>
  <c r="C30" i="2"/>
  <c r="B30" i="2"/>
  <c r="E28" i="2"/>
  <c r="D28" i="2"/>
  <c r="C28" i="2"/>
  <c r="B28" i="2"/>
  <c r="E24" i="2"/>
  <c r="E22" i="2"/>
  <c r="D22" i="2"/>
  <c r="C22" i="2"/>
  <c r="B22" i="2"/>
  <c r="D24" i="2"/>
  <c r="C24" i="2"/>
  <c r="B24" i="2"/>
  <c r="E17" i="2"/>
  <c r="D17" i="2"/>
  <c r="C17" i="2"/>
  <c r="B17" i="2"/>
  <c r="C18" i="1"/>
  <c r="D18" i="1"/>
  <c r="E18" i="1"/>
  <c r="B18" i="1"/>
  <c r="E12" i="1"/>
  <c r="D12" i="1"/>
  <c r="C12" i="1"/>
  <c r="B12" i="1"/>
  <c r="D9" i="1"/>
  <c r="C9" i="1"/>
  <c r="B9" i="1"/>
  <c r="A84" i="14"/>
  <c r="A3" i="7"/>
  <c r="A3" i="6"/>
  <c r="F43" i="2"/>
  <c r="H88" i="14"/>
  <c r="H57" i="14"/>
  <c r="H63" i="14"/>
  <c r="C82" i="14"/>
  <c r="H58" i="14"/>
  <c r="H56" i="14"/>
  <c r="H55" i="14"/>
  <c r="H53" i="14"/>
  <c r="H51" i="14"/>
  <c r="H54" i="14"/>
  <c r="C4" i="15"/>
  <c r="H52" i="14"/>
  <c r="C85" i="14"/>
  <c r="H62" i="14"/>
  <c r="C15" i="15"/>
  <c r="H64" i="14"/>
  <c r="F5" i="11"/>
  <c r="C14" i="15"/>
  <c r="D44" i="14"/>
  <c r="E44" i="14"/>
  <c r="F44" i="14"/>
  <c r="G44" i="14"/>
  <c r="B25" i="14"/>
  <c r="C6" i="8"/>
  <c r="D6" i="8"/>
  <c r="E6" i="8"/>
  <c r="C7" i="8"/>
  <c r="D7" i="8"/>
  <c r="E7" i="8"/>
  <c r="B7" i="8"/>
  <c r="B6" i="8"/>
  <c r="E8" i="8"/>
  <c r="D8" i="8"/>
  <c r="C8" i="8"/>
  <c r="E4" i="8"/>
  <c r="D4" i="8"/>
  <c r="C4" i="8"/>
  <c r="B8" i="8"/>
  <c r="A7" i="8"/>
  <c r="A6" i="8"/>
  <c r="B21" i="14"/>
  <c r="B56" i="14"/>
  <c r="B22" i="14"/>
  <c r="B57" i="14"/>
  <c r="B23" i="14"/>
  <c r="B52" i="14"/>
  <c r="B36" i="14"/>
  <c r="B38" i="14"/>
  <c r="A38" i="14"/>
  <c r="B40" i="14"/>
  <c r="C40" i="14"/>
  <c r="D40" i="14"/>
  <c r="E40" i="14"/>
  <c r="F40" i="14"/>
  <c r="G40" i="14"/>
  <c r="B39" i="14"/>
  <c r="C39" i="14"/>
  <c r="D39" i="14"/>
  <c r="E39" i="14"/>
  <c r="F39" i="14"/>
  <c r="G39" i="14"/>
  <c r="B45" i="14"/>
  <c r="B46" i="14"/>
  <c r="H13" i="14"/>
  <c r="F7" i="8"/>
  <c r="H38" i="14"/>
  <c r="H10" i="14"/>
  <c r="H40" i="14"/>
  <c r="C79" i="14"/>
  <c r="H9" i="14"/>
  <c r="H39" i="14"/>
  <c r="H8" i="14"/>
  <c r="H12" i="14"/>
  <c r="F6" i="8"/>
  <c r="H7" i="14"/>
  <c r="B79" i="14"/>
  <c r="C38" i="14"/>
  <c r="D38" i="14"/>
  <c r="E38" i="14"/>
  <c r="F38" i="14"/>
  <c r="G38" i="14"/>
  <c r="B17" i="14"/>
  <c r="D72" i="14"/>
  <c r="E72" i="14"/>
  <c r="F72" i="14"/>
  <c r="G72" i="14"/>
  <c r="C45" i="14"/>
  <c r="D45" i="14"/>
  <c r="E45" i="14"/>
  <c r="F45" i="14"/>
  <c r="G45" i="14"/>
  <c r="C76" i="14"/>
  <c r="H6" i="14"/>
  <c r="H28" i="14"/>
  <c r="H71" i="14"/>
  <c r="H18" i="14"/>
  <c r="H26" i="14"/>
  <c r="C80" i="14"/>
  <c r="H46" i="14"/>
  <c r="H43" i="14"/>
  <c r="H21" i="14"/>
  <c r="H47" i="14"/>
  <c r="H23" i="14"/>
  <c r="H45" i="14"/>
  <c r="H17" i="14"/>
  <c r="H19" i="14"/>
  <c r="H35" i="14"/>
  <c r="H20" i="14"/>
  <c r="H33" i="14"/>
  <c r="C108" i="14"/>
  <c r="H27" i="14"/>
  <c r="H4" i="14"/>
  <c r="H29" i="14"/>
  <c r="H44" i="14"/>
  <c r="H25" i="14"/>
  <c r="H24" i="14"/>
  <c r="H32" i="14"/>
  <c r="H36" i="14"/>
  <c r="H41" i="14"/>
  <c r="H5" i="14"/>
  <c r="C78" i="14"/>
  <c r="H22" i="14"/>
  <c r="C81" i="14"/>
  <c r="C77" i="14"/>
  <c r="H74" i="14"/>
  <c r="H37" i="14"/>
  <c r="H73" i="14"/>
  <c r="D21" i="14"/>
  <c r="E21" i="14"/>
  <c r="F21" i="14"/>
  <c r="G21" i="14"/>
  <c r="B3" i="13"/>
  <c r="C3" i="13"/>
  <c r="D3" i="13"/>
  <c r="E3" i="13"/>
  <c r="B4" i="13"/>
  <c r="C4" i="13"/>
  <c r="D4" i="13"/>
  <c r="E4" i="13"/>
  <c r="A4" i="13"/>
  <c r="A3" i="13"/>
  <c r="E2" i="13"/>
  <c r="D2" i="13"/>
  <c r="C2" i="13"/>
  <c r="B2" i="13"/>
  <c r="F5" i="13"/>
  <c r="E5" i="13"/>
  <c r="B32" i="14"/>
  <c r="D5" i="13"/>
  <c r="C5" i="13"/>
  <c r="B5" i="13"/>
  <c r="B4" i="11"/>
  <c r="C4" i="11"/>
  <c r="D4" i="11"/>
  <c r="E4" i="11"/>
  <c r="A4" i="11"/>
  <c r="A3" i="11"/>
  <c r="E2" i="11"/>
  <c r="D2" i="11"/>
  <c r="C2" i="11"/>
  <c r="B2" i="11"/>
  <c r="C4" i="10"/>
  <c r="D4" i="10"/>
  <c r="E4" i="10"/>
  <c r="C5" i="10"/>
  <c r="D5" i="10"/>
  <c r="E5" i="10"/>
  <c r="C6" i="10"/>
  <c r="D6" i="10"/>
  <c r="E6" i="10"/>
  <c r="C7" i="10"/>
  <c r="D7" i="10"/>
  <c r="E7" i="10"/>
  <c r="C8" i="10"/>
  <c r="D8" i="10"/>
  <c r="E8" i="10"/>
  <c r="C9" i="10"/>
  <c r="D9" i="10"/>
  <c r="E9" i="10"/>
  <c r="A4" i="10"/>
  <c r="A5" i="10"/>
  <c r="A6" i="10"/>
  <c r="A7" i="10"/>
  <c r="A8" i="10"/>
  <c r="A9" i="10"/>
  <c r="B9" i="10"/>
  <c r="B8" i="10"/>
  <c r="B7" i="10"/>
  <c r="B6" i="10"/>
  <c r="B5" i="10"/>
  <c r="B4" i="10"/>
  <c r="I12" i="2"/>
  <c r="E2" i="10"/>
  <c r="D2" i="10"/>
  <c r="C2" i="10"/>
  <c r="B2" i="10"/>
  <c r="C9" i="11"/>
  <c r="C8" i="11"/>
  <c r="F10" i="10"/>
  <c r="B10" i="10"/>
  <c r="E10" i="10"/>
  <c r="C10" i="10"/>
  <c r="D10" i="10"/>
  <c r="C3" i="9"/>
  <c r="D3" i="9"/>
  <c r="B3" i="9"/>
  <c r="A3" i="9"/>
  <c r="A4" i="9"/>
  <c r="E4" i="9"/>
  <c r="D4" i="9"/>
  <c r="C4" i="9"/>
  <c r="B4" i="9"/>
  <c r="E2" i="9"/>
  <c r="D2" i="9"/>
  <c r="C2" i="9"/>
  <c r="B2" i="9"/>
  <c r="C13" i="8"/>
  <c r="C12" i="8"/>
  <c r="B28" i="14"/>
  <c r="C13" i="14"/>
  <c r="D13" i="14"/>
  <c r="E13" i="14"/>
  <c r="F13" i="14"/>
  <c r="G13" i="14"/>
  <c r="A8" i="8"/>
  <c r="A5" i="8"/>
  <c r="B4" i="8"/>
  <c r="A4" i="8"/>
  <c r="E3" i="8"/>
  <c r="E7" i="6"/>
  <c r="D3" i="8"/>
  <c r="D7" i="6"/>
  <c r="C3" i="8"/>
  <c r="C7" i="6"/>
  <c r="B3" i="8"/>
  <c r="B7" i="6"/>
  <c r="A3" i="8"/>
  <c r="A7" i="6"/>
  <c r="E7" i="7"/>
  <c r="D7" i="7"/>
  <c r="C7" i="7"/>
  <c r="B7" i="7"/>
  <c r="A5" i="7"/>
  <c r="E4" i="7"/>
  <c r="D4" i="7"/>
  <c r="C4" i="7"/>
  <c r="B4" i="7"/>
  <c r="A4" i="7"/>
  <c r="E3" i="7"/>
  <c r="E8" i="7"/>
  <c r="D3" i="7"/>
  <c r="C3" i="7"/>
  <c r="B3" i="7"/>
  <c r="E2" i="7"/>
  <c r="D2" i="7"/>
  <c r="C2" i="7"/>
  <c r="B2" i="7"/>
  <c r="E4" i="6"/>
  <c r="D4" i="6"/>
  <c r="C4" i="6"/>
  <c r="B4" i="6"/>
  <c r="E3" i="6"/>
  <c r="D3" i="6"/>
  <c r="C3" i="6"/>
  <c r="B3" i="6"/>
  <c r="A5" i="6"/>
  <c r="A4" i="6"/>
  <c r="E2" i="6"/>
  <c r="D2" i="6"/>
  <c r="C2" i="6"/>
  <c r="B2" i="6"/>
  <c r="F8" i="7"/>
  <c r="F10" i="6"/>
  <c r="F10" i="8"/>
  <c r="F9" i="8"/>
  <c r="C10" i="7"/>
  <c r="F9" i="6"/>
  <c r="F3" i="8"/>
  <c r="F8" i="8"/>
  <c r="F4" i="8"/>
  <c r="C14" i="6"/>
  <c r="F5" i="8"/>
  <c r="C13" i="6"/>
  <c r="B8" i="7"/>
  <c r="C8" i="7"/>
  <c r="D8" i="7"/>
  <c r="C28" i="14"/>
  <c r="D28" i="14"/>
  <c r="E28" i="14"/>
  <c r="F28" i="14"/>
  <c r="G28" i="14"/>
  <c r="B10" i="7"/>
  <c r="C10" i="14"/>
  <c r="D10" i="14"/>
  <c r="E10" i="14"/>
  <c r="F10" i="14"/>
  <c r="G10" i="14"/>
  <c r="E9" i="6"/>
  <c r="C9" i="6"/>
  <c r="B9" i="6"/>
  <c r="D9" i="6"/>
  <c r="E3" i="5"/>
  <c r="D3" i="5"/>
  <c r="C3" i="5"/>
  <c r="B3" i="5"/>
  <c r="A3" i="5"/>
  <c r="C6" i="5"/>
  <c r="D6" i="5"/>
  <c r="E6" i="5"/>
  <c r="C7" i="5"/>
  <c r="D7" i="5"/>
  <c r="E7" i="5"/>
  <c r="C8" i="5"/>
  <c r="D8" i="5"/>
  <c r="E8" i="5"/>
  <c r="C13" i="5"/>
  <c r="D13" i="5"/>
  <c r="E13" i="5"/>
  <c r="C14" i="5"/>
  <c r="D14" i="5"/>
  <c r="E14" i="5"/>
  <c r="A6" i="5"/>
  <c r="A7" i="5"/>
  <c r="A8" i="5"/>
  <c r="A13" i="5"/>
  <c r="A14" i="5"/>
  <c r="B14" i="5"/>
  <c r="B13" i="5"/>
  <c r="B8" i="5"/>
  <c r="B7" i="5"/>
  <c r="B6" i="5"/>
  <c r="I5" i="2"/>
  <c r="F9" i="5"/>
  <c r="F18" i="5"/>
  <c r="F19" i="5"/>
  <c r="F16" i="5"/>
  <c r="F15" i="5"/>
  <c r="F10" i="5"/>
  <c r="B9" i="5"/>
  <c r="B10" i="5"/>
  <c r="B15" i="5"/>
  <c r="B16" i="5"/>
  <c r="C15" i="5"/>
  <c r="C9" i="5"/>
  <c r="C10" i="5"/>
  <c r="B13" i="6"/>
  <c r="C16" i="5"/>
  <c r="D9" i="5"/>
  <c r="D15" i="5"/>
  <c r="D16" i="5"/>
  <c r="E9" i="5"/>
  <c r="B33" i="14"/>
  <c r="E15" i="5"/>
  <c r="B20" i="4"/>
  <c r="B19" i="4"/>
  <c r="B18" i="4"/>
  <c r="B17" i="4"/>
  <c r="B14" i="4"/>
  <c r="C3" i="14"/>
  <c r="C4" i="4"/>
  <c r="C5" i="4"/>
  <c r="C6" i="4"/>
  <c r="C7" i="4"/>
  <c r="C8" i="4"/>
  <c r="C9" i="4"/>
  <c r="C10" i="4"/>
  <c r="C11" i="4"/>
  <c r="C3" i="4"/>
  <c r="L13" i="2"/>
  <c r="K13" i="2"/>
  <c r="J13" i="2"/>
  <c r="L12" i="2"/>
  <c r="K12" i="2"/>
  <c r="K14" i="2"/>
  <c r="J12" i="2"/>
  <c r="J14" i="2"/>
  <c r="I13" i="2"/>
  <c r="I14" i="2"/>
  <c r="L8" i="2"/>
  <c r="K8" i="2"/>
  <c r="J8" i="2"/>
  <c r="L6" i="2"/>
  <c r="K6" i="2"/>
  <c r="J6" i="2"/>
  <c r="L5" i="2"/>
  <c r="K5" i="2"/>
  <c r="J5" i="2"/>
  <c r="I8" i="2"/>
  <c r="I6" i="2"/>
  <c r="M9" i="2"/>
  <c r="M7" i="2"/>
  <c r="C18" i="5"/>
  <c r="C19" i="5"/>
  <c r="B53" i="14"/>
  <c r="B18" i="5"/>
  <c r="B19" i="5"/>
  <c r="L14" i="2"/>
  <c r="B44" i="14"/>
  <c r="E3" i="14"/>
  <c r="F3" i="14"/>
  <c r="G3" i="14"/>
  <c r="E16" i="5"/>
  <c r="C8" i="14"/>
  <c r="D8" i="14"/>
  <c r="E8" i="14"/>
  <c r="F8" i="14"/>
  <c r="G8" i="14"/>
  <c r="B43" i="14"/>
  <c r="D18" i="5"/>
  <c r="D19" i="5"/>
  <c r="E18" i="5"/>
  <c r="E19" i="5"/>
  <c r="E10" i="5"/>
  <c r="D10" i="5"/>
  <c r="C7" i="14"/>
  <c r="D7" i="14"/>
  <c r="E7" i="14"/>
  <c r="F7" i="14"/>
  <c r="G7" i="14"/>
  <c r="D4" i="4"/>
  <c r="M12" i="2"/>
  <c r="M8" i="2"/>
  <c r="D3" i="4"/>
  <c r="C20" i="4"/>
  <c r="M14" i="2"/>
  <c r="C17" i="4"/>
  <c r="C18" i="4"/>
  <c r="C14" i="4"/>
  <c r="C19" i="4"/>
  <c r="M4" i="2"/>
  <c r="M13" i="2"/>
  <c r="M6" i="2"/>
  <c r="M16" i="2"/>
  <c r="B47" i="14"/>
  <c r="B54" i="14"/>
  <c r="B80" i="14"/>
  <c r="C56" i="14"/>
  <c r="C43" i="14"/>
  <c r="C54" i="14"/>
  <c r="C33" i="14"/>
  <c r="B34" i="3"/>
  <c r="C34" i="3"/>
  <c r="D34" i="3"/>
  <c r="E34" i="3"/>
  <c r="C24" i="3"/>
  <c r="D24" i="3"/>
  <c r="E24" i="3"/>
  <c r="D16" i="3"/>
  <c r="B16" i="3"/>
  <c r="C16" i="3"/>
  <c r="E16" i="3"/>
  <c r="B39" i="2"/>
  <c r="B41" i="2"/>
  <c r="C39" i="2"/>
  <c r="C41" i="2"/>
  <c r="D39" i="2"/>
  <c r="D41" i="2"/>
  <c r="E39" i="2"/>
  <c r="E41" i="2"/>
  <c r="B27" i="2"/>
  <c r="B31" i="2"/>
  <c r="C27" i="2"/>
  <c r="C31" i="2"/>
  <c r="D27" i="2"/>
  <c r="D31" i="2"/>
  <c r="E27" i="2"/>
  <c r="E31" i="2"/>
  <c r="B14" i="2"/>
  <c r="C14" i="2"/>
  <c r="D14" i="2"/>
  <c r="E14" i="2"/>
  <c r="B10" i="2"/>
  <c r="C10" i="2"/>
  <c r="D10" i="2"/>
  <c r="E10" i="2"/>
  <c r="M5" i="2"/>
  <c r="C53" i="14"/>
  <c r="J4" i="2"/>
  <c r="J7" i="2"/>
  <c r="J9" i="2"/>
  <c r="J16" i="2"/>
  <c r="C5" i="6"/>
  <c r="C10" i="6"/>
  <c r="C5" i="7"/>
  <c r="I4" i="2"/>
  <c r="I7" i="2"/>
  <c r="I9" i="2"/>
  <c r="I16" i="2"/>
  <c r="B5" i="6"/>
  <c r="B10" i="6"/>
  <c r="B5" i="7"/>
  <c r="D43" i="14"/>
  <c r="D54" i="14"/>
  <c r="D33" i="14"/>
  <c r="D53" i="14"/>
  <c r="E17" i="14"/>
  <c r="C36" i="3"/>
  <c r="E73" i="14"/>
  <c r="F73" i="14"/>
  <c r="D73" i="14"/>
  <c r="C73" i="14"/>
  <c r="G73" i="14"/>
  <c r="L4" i="2"/>
  <c r="L7" i="2"/>
  <c r="L9" i="2"/>
  <c r="L16" i="2"/>
  <c r="E5" i="7"/>
  <c r="E5" i="6"/>
  <c r="E10" i="6"/>
  <c r="K4" i="2"/>
  <c r="K7" i="2"/>
  <c r="K9" i="2"/>
  <c r="K16" i="2"/>
  <c r="D5" i="7"/>
  <c r="D5" i="6"/>
  <c r="D10" i="6"/>
  <c r="E42" i="2"/>
  <c r="D42" i="2"/>
  <c r="C42" i="2"/>
  <c r="B42" i="2"/>
  <c r="E36" i="3"/>
  <c r="D36" i="3"/>
  <c r="B24" i="3"/>
  <c r="B36" i="3"/>
  <c r="E18" i="2"/>
  <c r="D18" i="2"/>
  <c r="B18" i="2"/>
  <c r="C18" i="2"/>
  <c r="C43" i="2"/>
  <c r="B43" i="2"/>
  <c r="E43" i="14"/>
  <c r="E54" i="14"/>
  <c r="F17" i="14"/>
  <c r="E33" i="14"/>
  <c r="E53" i="14"/>
  <c r="B14" i="6"/>
  <c r="C9" i="14"/>
  <c r="E43" i="2"/>
  <c r="D43" i="2"/>
  <c r="B13" i="1"/>
  <c r="B5" i="8"/>
  <c r="B9" i="8"/>
  <c r="C13" i="1"/>
  <c r="D13" i="1"/>
  <c r="E13" i="1"/>
  <c r="E5" i="8"/>
  <c r="E9" i="8"/>
  <c r="B5" i="1"/>
  <c r="C5" i="1"/>
  <c r="D5" i="1"/>
  <c r="E5" i="1"/>
  <c r="F33" i="14"/>
  <c r="F53" i="14"/>
  <c r="F43" i="14"/>
  <c r="F54" i="14"/>
  <c r="G17" i="14"/>
  <c r="C5" i="8"/>
  <c r="C9" i="8"/>
  <c r="C10" i="8"/>
  <c r="D9" i="14"/>
  <c r="C37" i="14"/>
  <c r="C63" i="14"/>
  <c r="D5" i="8"/>
  <c r="D9" i="8"/>
  <c r="D10" i="8"/>
  <c r="E10" i="8"/>
  <c r="B18" i="14"/>
  <c r="B10" i="8"/>
  <c r="E14" i="1"/>
  <c r="B14" i="1"/>
  <c r="C14" i="1"/>
  <c r="D14" i="1"/>
  <c r="B12" i="8"/>
  <c r="C4" i="14"/>
  <c r="D4" i="14"/>
  <c r="B13" i="8"/>
  <c r="C5" i="14"/>
  <c r="D5" i="14"/>
  <c r="E5" i="14"/>
  <c r="F5" i="14"/>
  <c r="G5" i="14"/>
  <c r="C16" i="1"/>
  <c r="C3" i="11"/>
  <c r="C5" i="11"/>
  <c r="B16" i="1"/>
  <c r="B3" i="11"/>
  <c r="D37" i="14"/>
  <c r="D63" i="14"/>
  <c r="E9" i="14"/>
  <c r="D16" i="1"/>
  <c r="D3" i="11"/>
  <c r="D5" i="11"/>
  <c r="E16" i="1"/>
  <c r="E3" i="9"/>
  <c r="E3" i="11"/>
  <c r="E5" i="11"/>
  <c r="G43" i="14"/>
  <c r="G54" i="14"/>
  <c r="G33" i="14"/>
  <c r="G53" i="14"/>
  <c r="B24" i="14"/>
  <c r="B20" i="14"/>
  <c r="F9" i="14"/>
  <c r="E37" i="14"/>
  <c r="E63" i="14"/>
  <c r="B5" i="11"/>
  <c r="B8" i="11"/>
  <c r="B9" i="11"/>
  <c r="E4" i="14"/>
  <c r="D12" i="14"/>
  <c r="B26" i="14"/>
  <c r="B51" i="14"/>
  <c r="G9" i="14"/>
  <c r="G37" i="14"/>
  <c r="G63" i="14"/>
  <c r="F37" i="14"/>
  <c r="F63" i="14"/>
  <c r="E12" i="14"/>
  <c r="D56" i="14"/>
  <c r="F4" i="14"/>
  <c r="E18" i="14"/>
  <c r="B29" i="14"/>
  <c r="B27" i="14"/>
  <c r="F12" i="14"/>
  <c r="E56" i="14"/>
  <c r="G4" i="14"/>
  <c r="G18" i="14"/>
  <c r="F18" i="14"/>
  <c r="G12" i="14"/>
  <c r="G56" i="14"/>
  <c r="F56" i="14"/>
  <c r="C20" i="14"/>
  <c r="E19" i="14"/>
  <c r="D20" i="14"/>
  <c r="G19" i="14"/>
  <c r="F19" i="14"/>
  <c r="E20" i="14"/>
  <c r="F20" i="14"/>
  <c r="G20" i="14"/>
  <c r="C22" i="14"/>
  <c r="D22" i="14"/>
  <c r="E22" i="14"/>
  <c r="F22" i="14"/>
  <c r="G22" i="14"/>
  <c r="C23" i="14"/>
  <c r="D23" i="14"/>
  <c r="E23" i="14"/>
  <c r="F23" i="14"/>
  <c r="G23" i="14"/>
  <c r="C24" i="14"/>
  <c r="D24" i="14"/>
  <c r="E24" i="14"/>
  <c r="F24" i="14"/>
  <c r="G24" i="14"/>
  <c r="C25" i="14"/>
  <c r="D25" i="14"/>
  <c r="E25" i="14"/>
  <c r="F25" i="14"/>
  <c r="G25" i="14"/>
  <c r="C26" i="14"/>
  <c r="D26" i="14"/>
  <c r="E26" i="14"/>
  <c r="F26" i="14"/>
  <c r="G26" i="14"/>
  <c r="C27" i="14"/>
  <c r="D27" i="14"/>
  <c r="E27" i="14"/>
  <c r="F27" i="14"/>
  <c r="G27" i="14"/>
  <c r="C29" i="14"/>
  <c r="D29" i="14"/>
  <c r="E29" i="14"/>
  <c r="F29" i="14"/>
  <c r="G29" i="14"/>
  <c r="C32" i="14"/>
  <c r="D32" i="14"/>
  <c r="E32" i="14"/>
  <c r="F32" i="14"/>
  <c r="G32" i="14"/>
  <c r="B35" i="14"/>
  <c r="C35" i="14"/>
  <c r="D35" i="14"/>
  <c r="E35" i="14"/>
  <c r="F35" i="14"/>
  <c r="G35" i="14"/>
  <c r="C36" i="14"/>
  <c r="D36" i="14"/>
  <c r="E36" i="14"/>
  <c r="F36" i="14"/>
  <c r="G36" i="14"/>
  <c r="B37" i="14"/>
  <c r="B41" i="14"/>
  <c r="C41" i="14"/>
  <c r="D41" i="14"/>
  <c r="E41" i="14"/>
  <c r="F41" i="14"/>
  <c r="G41" i="14"/>
  <c r="C46" i="14"/>
  <c r="D46" i="14"/>
  <c r="E46" i="14"/>
  <c r="F46" i="14"/>
  <c r="G46" i="14"/>
  <c r="C47" i="14"/>
  <c r="D47" i="14"/>
  <c r="E47" i="14"/>
  <c r="F47" i="14"/>
  <c r="G47" i="14"/>
  <c r="C51" i="14"/>
  <c r="D51" i="14"/>
  <c r="E51" i="14"/>
  <c r="F51" i="14"/>
  <c r="G51" i="14"/>
  <c r="C52" i="14"/>
  <c r="D52" i="14"/>
  <c r="E52" i="14"/>
  <c r="F52" i="14"/>
  <c r="G52" i="14"/>
  <c r="B55" i="14"/>
  <c r="C55" i="14"/>
  <c r="D55" i="14"/>
  <c r="E55" i="14"/>
  <c r="F55" i="14"/>
  <c r="G55" i="14"/>
  <c r="C57" i="14"/>
  <c r="D57" i="14"/>
  <c r="E57" i="14"/>
  <c r="F57" i="14"/>
  <c r="G57" i="14"/>
  <c r="B58" i="14"/>
  <c r="C58" i="14"/>
  <c r="D58" i="14"/>
  <c r="E58" i="14"/>
  <c r="F58" i="14"/>
  <c r="G58" i="14"/>
  <c r="C62" i="14"/>
  <c r="D62" i="14"/>
  <c r="E62" i="14"/>
  <c r="F62" i="14"/>
  <c r="G62" i="14"/>
  <c r="B63" i="14"/>
  <c r="C64" i="14"/>
  <c r="D64" i="14"/>
  <c r="E64" i="14"/>
  <c r="F64" i="14"/>
  <c r="G64" i="14"/>
  <c r="C71" i="14"/>
  <c r="D71" i="14"/>
  <c r="E71" i="14"/>
  <c r="F71" i="14"/>
  <c r="G71" i="14"/>
  <c r="C74" i="14"/>
  <c r="D74" i="14"/>
  <c r="E74" i="14"/>
  <c r="F74" i="14"/>
  <c r="G74" i="14"/>
  <c r="B76" i="14"/>
  <c r="B77" i="14"/>
  <c r="B78" i="14"/>
  <c r="B81" i="14"/>
  <c r="B82" i="14"/>
  <c r="A87" i="14"/>
  <c r="A109" i="14"/>
</calcChain>
</file>

<file path=xl/sharedStrings.xml><?xml version="1.0" encoding="utf-8"?>
<sst xmlns="http://schemas.openxmlformats.org/spreadsheetml/2006/main" count="284" uniqueCount="255">
  <si>
    <t>Sales</t>
  </si>
  <si>
    <t>Cost of sales</t>
  </si>
  <si>
    <t>Selling, general and administrative</t>
  </si>
  <si>
    <t>Research and development</t>
  </si>
  <si>
    <t>Other (income) expense, net</t>
  </si>
  <si>
    <t>Gross profit</t>
  </si>
  <si>
    <t>Interest income</t>
  </si>
  <si>
    <t>Interest expense</t>
  </si>
  <si>
    <t>Assets</t>
  </si>
  <si>
    <t>Cash and cash equivalents</t>
  </si>
  <si>
    <t>Short-term investments</t>
  </si>
  <si>
    <t>Other current assets</t>
  </si>
  <si>
    <t>Total current assets</t>
  </si>
  <si>
    <t>Investments</t>
  </si>
  <si>
    <t>Goodwill</t>
  </si>
  <si>
    <t>Total current liabilities</t>
  </si>
  <si>
    <t>Other paid-in capital</t>
  </si>
  <si>
    <t>Retained earnings</t>
  </si>
  <si>
    <t>Accumulated other comprehensive loss</t>
  </si>
  <si>
    <t>Total equity</t>
  </si>
  <si>
    <t>Accounts receivable</t>
  </si>
  <si>
    <t>Inventories</t>
  </si>
  <si>
    <t>Net PP&amp;E</t>
  </si>
  <si>
    <t>Loans payable and current portion of long-term debt</t>
  </si>
  <si>
    <t>Trade accounts payable</t>
  </si>
  <si>
    <t>Accrued and other current liabilities</t>
  </si>
  <si>
    <t>Income taxes payable</t>
  </si>
  <si>
    <t>Dividends payable</t>
  </si>
  <si>
    <t>Common stock</t>
  </si>
  <si>
    <t>Less treasury stock, at cost</t>
  </si>
  <si>
    <t>Other</t>
  </si>
  <si>
    <t>Capital expenditures</t>
  </si>
  <si>
    <t>Purchases of securities and other investments</t>
  </si>
  <si>
    <t>Proceeds from sales of securities and other investments</t>
  </si>
  <si>
    <t>Acquisitions, net of cash acquired</t>
  </si>
  <si>
    <t>Cash Flows from Financing Activities</t>
  </si>
  <si>
    <t>Net change in short-term borrowings</t>
  </si>
  <si>
    <t>Payments on debt</t>
  </si>
  <si>
    <t>Proceeds from issuance of debt</t>
  </si>
  <si>
    <t>Dividends paid to stockholders</t>
  </si>
  <si>
    <t>Proceeds from exercise of stock options</t>
  </si>
  <si>
    <t>Net income</t>
  </si>
  <si>
    <t>Adjustments to reconcile net income to net cash provided by operating activities:</t>
  </si>
  <si>
    <t>Depreciation and amortization</t>
  </si>
  <si>
    <t>Net changes in assets and liabilities:</t>
  </si>
  <si>
    <t>Operational assets</t>
  </si>
  <si>
    <t>Fixed assets</t>
  </si>
  <si>
    <t>Net working capital</t>
  </si>
  <si>
    <t>Intangible assets</t>
  </si>
  <si>
    <t>Total operational assets</t>
  </si>
  <si>
    <t>Excess assets</t>
  </si>
  <si>
    <t>Total assets</t>
  </si>
  <si>
    <t>Net financial debt</t>
  </si>
  <si>
    <t>Interest bearing liabilities</t>
  </si>
  <si>
    <t>Less cash and equivalents</t>
  </si>
  <si>
    <t>Equity</t>
  </si>
  <si>
    <t>Revenue ($M)</t>
  </si>
  <si>
    <t>Year-on-year growth</t>
  </si>
  <si>
    <t>Year</t>
  </si>
  <si>
    <t>CAGR</t>
  </si>
  <si>
    <t>CAGR is very affected by the sample!</t>
  </si>
  <si>
    <t>Current operational assets</t>
  </si>
  <si>
    <t>Total current operational assets</t>
  </si>
  <si>
    <t>Current operational liabilities</t>
  </si>
  <si>
    <t>Total current operational liabilities</t>
  </si>
  <si>
    <t>Net working capital (NWC)</t>
  </si>
  <si>
    <t>Current oper. assets % of sales</t>
  </si>
  <si>
    <t>Current oper. liabilities % of sales</t>
  </si>
  <si>
    <t>NWC % of sales</t>
  </si>
  <si>
    <t>Total costs excluding depreciation</t>
  </si>
  <si>
    <t>Intercept</t>
  </si>
  <si>
    <t>Slope</t>
  </si>
  <si>
    <t>Costs excluding depreciation % of sales</t>
  </si>
  <si>
    <t>Net fixed asset/sales</t>
  </si>
  <si>
    <t>Gross fixed asset/sales</t>
  </si>
  <si>
    <t>4-year average</t>
  </si>
  <si>
    <t xml:space="preserve">Depreciation </t>
  </si>
  <si>
    <t>Implied depreciation schedule</t>
  </si>
  <si>
    <t>Average depreciation schedule</t>
  </si>
  <si>
    <t>YoY growth rate</t>
  </si>
  <si>
    <t>Average growth rate</t>
  </si>
  <si>
    <t>Financial liabilities</t>
  </si>
  <si>
    <t>Total financial liabilities</t>
  </si>
  <si>
    <t>Effective tax rate</t>
  </si>
  <si>
    <t>Average tax rate</t>
  </si>
  <si>
    <t>Simple average</t>
  </si>
  <si>
    <t>Weighted average</t>
  </si>
  <si>
    <r>
      <t xml:space="preserve">0 </t>
    </r>
    <r>
      <rPr>
        <b/>
        <sz val="8"/>
        <rFont val="Arial"/>
        <family val="2"/>
      </rPr>
      <t>actual</t>
    </r>
  </si>
  <si>
    <r>
      <t xml:space="preserve">1 </t>
    </r>
    <r>
      <rPr>
        <b/>
        <sz val="8"/>
        <rFont val="Arial"/>
        <family val="2"/>
      </rPr>
      <t>assumption</t>
    </r>
  </si>
  <si>
    <r>
      <t xml:space="preserve">2 </t>
    </r>
    <r>
      <rPr>
        <b/>
        <sz val="8"/>
        <rFont val="Arial"/>
        <family val="2"/>
      </rPr>
      <t>assumption</t>
    </r>
  </si>
  <si>
    <r>
      <t xml:space="preserve">3 </t>
    </r>
    <r>
      <rPr>
        <b/>
        <sz val="8"/>
        <rFont val="Arial"/>
        <family val="2"/>
      </rPr>
      <t>assumption</t>
    </r>
  </si>
  <si>
    <r>
      <t xml:space="preserve">4 </t>
    </r>
    <r>
      <rPr>
        <b/>
        <sz val="8"/>
        <rFont val="Arial"/>
        <family val="2"/>
      </rPr>
      <t>assumption</t>
    </r>
  </si>
  <si>
    <r>
      <t xml:space="preserve">5 </t>
    </r>
    <r>
      <rPr>
        <b/>
        <sz val="8"/>
        <rFont val="Arial"/>
        <family val="2"/>
      </rPr>
      <t>assumption</t>
    </r>
  </si>
  <si>
    <t>Sales growth</t>
  </si>
  <si>
    <t>Interest rate on debt</t>
  </si>
  <si>
    <t>Current assets/Sales</t>
  </si>
  <si>
    <t>Current liabilities/Sales</t>
  </si>
  <si>
    <t>Net fixed assets/Sales</t>
  </si>
  <si>
    <t>Tax rate</t>
  </si>
  <si>
    <t>Income statement</t>
  </si>
  <si>
    <t>Interest payments on debt</t>
  </si>
  <si>
    <t>Interest earned on cash and marketable securities</t>
  </si>
  <si>
    <t>Depreciation</t>
  </si>
  <si>
    <t>Profit before tax</t>
  </si>
  <si>
    <t>Taxes</t>
  </si>
  <si>
    <t>Profit after tax (net profit)</t>
  </si>
  <si>
    <t>Net profit %</t>
  </si>
  <si>
    <t>Dividends</t>
  </si>
  <si>
    <t>Balance sheet</t>
  </si>
  <si>
    <t>Cash and marketable securities</t>
  </si>
  <si>
    <t>Current assets</t>
  </si>
  <si>
    <t xml:space="preserve">     At cost</t>
  </si>
  <si>
    <t xml:space="preserve">     Depreciation</t>
  </si>
  <si>
    <t xml:space="preserve">     Net fixed assets</t>
  </si>
  <si>
    <t>Current liabilities</t>
  </si>
  <si>
    <t>Debt</t>
  </si>
  <si>
    <t>Accumulated retained earnings</t>
  </si>
  <si>
    <t>Total liabilities and equity</t>
  </si>
  <si>
    <t>Free cash flow calculation</t>
  </si>
  <si>
    <t>Profit after tax</t>
  </si>
  <si>
    <t>Add back depreciation</t>
  </si>
  <si>
    <t>Subtract increase in current assets</t>
  </si>
  <si>
    <t>Add back increase in current liabilities</t>
  </si>
  <si>
    <t>Subtract increase in fixed assets at cost</t>
  </si>
  <si>
    <t>Add back after-tax interest on debt</t>
  </si>
  <si>
    <t>Free cash flow</t>
  </si>
  <si>
    <t>VALUING THE FIRM</t>
  </si>
  <si>
    <r>
      <t>Long-term FCF growth rate (g</t>
    </r>
    <r>
      <rPr>
        <vertAlign val="subscript"/>
        <sz val="12.1"/>
        <rFont val="Arial"/>
        <family val="2"/>
      </rPr>
      <t>LT</t>
    </r>
    <r>
      <rPr>
        <sz val="11"/>
        <rFont val="Arial"/>
        <family val="2"/>
      </rPr>
      <t>)</t>
    </r>
  </si>
  <si>
    <t>Assumption</t>
  </si>
  <si>
    <t>Weighted average cost of capital (WACC)</t>
  </si>
  <si>
    <t>Discounting period</t>
  </si>
  <si>
    <t>Discounting factor</t>
  </si>
  <si>
    <t>Discounted FCF</t>
  </si>
  <si>
    <t>Enterprise value</t>
  </si>
  <si>
    <t>Add excess assets</t>
  </si>
  <si>
    <t>Subtract net debt</t>
  </si>
  <si>
    <t>Equity value</t>
  </si>
  <si>
    <t>The effect of long term growth rate and WACC on equity valuation</t>
  </si>
  <si>
    <t>Total operating costs intercept</t>
  </si>
  <si>
    <t>Total operating costs slope</t>
  </si>
  <si>
    <t>Total operating costs excluding depreciation</t>
  </si>
  <si>
    <t>EBITDA %</t>
  </si>
  <si>
    <t>Depreciation schedule</t>
  </si>
  <si>
    <t>Dividend annual growth rate</t>
  </si>
  <si>
    <t>Goodwill and other intangibles</t>
  </si>
  <si>
    <t>Other assets</t>
  </si>
  <si>
    <t>Equity value, E (millions)</t>
  </si>
  <si>
    <t>Net debt, D (millions)</t>
  </si>
  <si>
    <r>
      <t>Cost of debt, r</t>
    </r>
    <r>
      <rPr>
        <vertAlign val="subscript"/>
        <sz val="10"/>
        <rFont val="Arial"/>
        <family val="2"/>
      </rPr>
      <t>D</t>
    </r>
  </si>
  <si>
    <r>
      <t>Tax rate, T</t>
    </r>
    <r>
      <rPr>
        <vertAlign val="subscript"/>
        <sz val="10"/>
        <rFont val="Arial"/>
        <family val="2"/>
      </rPr>
      <t>C</t>
    </r>
  </si>
  <si>
    <t>WACC based on CAPM</t>
  </si>
  <si>
    <r>
      <t>Risk-free rate, r</t>
    </r>
    <r>
      <rPr>
        <vertAlign val="subscript"/>
        <sz val="10"/>
        <rFont val="Arial"/>
        <family val="2"/>
      </rPr>
      <t>f</t>
    </r>
  </si>
  <si>
    <r>
      <t>Expected market return, 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</si>
  <si>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t>Using gordon model</t>
  </si>
  <si>
    <r>
      <t xml:space="preserve">Equity beta, </t>
    </r>
    <r>
      <rPr>
        <sz val="10"/>
        <rFont val="Symbol"/>
        <family val="1"/>
        <charset val="2"/>
      </rPr>
      <t>b</t>
    </r>
  </si>
  <si>
    <t>WACC</t>
  </si>
  <si>
    <t>10 year US gov. Bonds</t>
  </si>
  <si>
    <t>Value per share</t>
  </si>
  <si>
    <t>Source:</t>
  </si>
  <si>
    <t>Equity excluding retained earnings</t>
  </si>
  <si>
    <t>Shares outstanding (millions)</t>
  </si>
  <si>
    <t>Return on invested capital calculation (ROIC)</t>
  </si>
  <si>
    <t>Net operating profit less adjusted tax (NOPAT)</t>
  </si>
  <si>
    <t>Invested capital</t>
  </si>
  <si>
    <t>Return on invested capital (ROIC)</t>
  </si>
  <si>
    <t>Other costs, expenses and other</t>
  </si>
  <si>
    <t>Total other costs, expenses and other</t>
  </si>
  <si>
    <t>Income before taxes</t>
  </si>
  <si>
    <t>Taxes on income</t>
  </si>
  <si>
    <t>Less net (Loss) income attributable to noncontrolling interests</t>
  </si>
  <si>
    <t xml:space="preserve"> Earnings per common share attributable to common sharholders</t>
  </si>
  <si>
    <t>Property, plant and equipment (at cost)</t>
  </si>
  <si>
    <t>Less accumulated depreciation</t>
  </si>
  <si>
    <t>Liabilities and equity</t>
  </si>
  <si>
    <t>Long-term debt</t>
  </si>
  <si>
    <t>Deferred income taxes</t>
  </si>
  <si>
    <t>Other noncurrent liabilities</t>
  </si>
  <si>
    <t>Total liabilities</t>
  </si>
  <si>
    <t>Noncontrolling interests</t>
  </si>
  <si>
    <t>Check (assets = liabilities + equity)?</t>
  </si>
  <si>
    <t>Other intangibles, net</t>
  </si>
  <si>
    <t>Cash flows from operating activities</t>
  </si>
  <si>
    <t>Net cash provided by operating activities</t>
  </si>
  <si>
    <t>Cash flows from investing activities</t>
  </si>
  <si>
    <t>Net cash provided by (used in) investing activities</t>
  </si>
  <si>
    <t>Net cash used in financing activities</t>
  </si>
  <si>
    <t>Effect of exchange rate</t>
  </si>
  <si>
    <t>Net increase (decrease) in cash, cash equivalents</t>
  </si>
  <si>
    <t>Date</t>
  </si>
  <si>
    <t>1 Mo</t>
  </si>
  <si>
    <t>2 Mo</t>
  </si>
  <si>
    <t>3 Mo</t>
  </si>
  <si>
    <t>6 Mo</t>
  </si>
  <si>
    <t>1 Yr</t>
  </si>
  <si>
    <t>2 Yr</t>
  </si>
  <si>
    <t>3 Yr</t>
  </si>
  <si>
    <t>5 Yr</t>
  </si>
  <si>
    <t>7 Yr</t>
  </si>
  <si>
    <t>10 Yr</t>
  </si>
  <si>
    <t>20 Yr</t>
  </si>
  <si>
    <t>30 Yr</t>
  </si>
  <si>
    <t>THE RISK-FREE YIELD CURVE</t>
  </si>
  <si>
    <t>https://www.treasury.gov/resource-center/data-chart-center/interest-rates/Pages/default.aspx</t>
  </si>
  <si>
    <t>Total cash and equivalents</t>
  </si>
  <si>
    <t>Earnings before interest taxes depreciation (EBITDA)</t>
  </si>
  <si>
    <t>Less after-tax interest on cash and marketable securities</t>
  </si>
  <si>
    <t>Forecasted future FCFs</t>
  </si>
  <si>
    <t>PV short-term forecast</t>
  </si>
  <si>
    <t>PV long-term forecast (terminal value)</t>
  </si>
  <si>
    <t>↓Short-term sales growth rate; →Long-term growth rate</t>
  </si>
  <si>
    <t xml:space="preserve">Gain/Loss on sale of Investment </t>
  </si>
  <si>
    <t>-</t>
  </si>
  <si>
    <t>Net income attributable to Alphabet Inc. shareholders</t>
  </si>
  <si>
    <r>
      <t xml:space="preserve">ALPHABET INC. STATEMENT OF INCOME, YEARS ENDED DECEMBER 31
</t>
    </r>
    <r>
      <rPr>
        <b/>
        <sz val="11"/>
        <color theme="1"/>
        <rFont val="Calibri"/>
        <family val="2"/>
      </rPr>
      <t>($ IN MILLIONS EXCEPT PER SHARE AMOUNTS)</t>
    </r>
  </si>
  <si>
    <r>
      <t xml:space="preserve">ALPHABET INC. CONSOLIDATED BALANCE SHEET, DECEMBER 31 
</t>
    </r>
    <r>
      <rPr>
        <b/>
        <sz val="11"/>
        <color theme="1"/>
        <rFont val="Calibri"/>
        <family val="2"/>
      </rPr>
      <t>($ IN MILLIONS EXCEPT PER SHARE AMOUNTS)</t>
    </r>
  </si>
  <si>
    <r>
      <t xml:space="preserve">ALPHABET INC. OPERATIONAL BALANCE SHEET, DECEMBER 31 
</t>
    </r>
    <r>
      <rPr>
        <b/>
        <sz val="11"/>
        <color theme="1"/>
        <rFont val="Calibri"/>
        <family val="2"/>
      </rPr>
      <t>($ IN MILLIONS EXCEPT PER SHARE AMOUNTS)</t>
    </r>
  </si>
  <si>
    <t>Alphabet Inc. stockholders’ equity</t>
  </si>
  <si>
    <t>Total Alphabet., Inc. stockholders’ equity</t>
  </si>
  <si>
    <r>
      <t xml:space="preserve">ALPHABET INC. CONSOLIDATED STATEMENT OF CASH FLOWS,
 </t>
    </r>
    <r>
      <rPr>
        <b/>
        <sz val="11"/>
        <color theme="1"/>
        <rFont val="Calibri"/>
        <family val="2"/>
        <scheme val="minor"/>
      </rPr>
      <t xml:space="preserve">YEARS ENDED DECEMBER 31 </t>
    </r>
    <r>
      <rPr>
        <b/>
        <sz val="11"/>
        <color theme="1"/>
        <rFont val="Calibri"/>
        <family val="2"/>
      </rPr>
      <t>($ IN MILLIONS)</t>
    </r>
  </si>
  <si>
    <t>Net Operating Assets</t>
  </si>
  <si>
    <t>Unearned Revenue</t>
  </si>
  <si>
    <t>Purchases of Common stock</t>
  </si>
  <si>
    <t>ANALYSIS OF GOOGL'S REVENUES</t>
  </si>
  <si>
    <t>2013-2022</t>
  </si>
  <si>
    <t>2015-2022</t>
  </si>
  <si>
    <t>2017-2022</t>
  </si>
  <si>
    <t>2019-2022</t>
  </si>
  <si>
    <t>GOOGL COST ANALYSIS</t>
  </si>
  <si>
    <t>GOOGL WORKING CAPITAL ANALYSIS</t>
  </si>
  <si>
    <t>GOOGL FIXED ASSET ANALYSIS</t>
  </si>
  <si>
    <t>GOOGL DEPRECIATION ANALYSIS</t>
  </si>
  <si>
    <t>GOOGL DIVIDEND ANALYSIS</t>
  </si>
  <si>
    <t>GOOGL FINANCIAL LIABILITIES ANALYSIS</t>
  </si>
  <si>
    <t>GOOGL TAX RATE ANALYSIS</t>
  </si>
  <si>
    <t>GOOGL CASH AND CASH EQUIVALENTS</t>
  </si>
  <si>
    <t>GOOGL PRO FORMA MODEL - 5 year forecast</t>
  </si>
  <si>
    <t>Assumption: the average growth rate for dividends is 0 as company does not pay any dividends</t>
  </si>
  <si>
    <t>Share price, 31 December 2022</t>
  </si>
  <si>
    <t>COMPUTING THE WACC FOR GOOGL (DECEMBER 2022)</t>
  </si>
  <si>
    <t xml:space="preserve">Source: Yahoo Finance </t>
  </si>
  <si>
    <r>
      <t>COMPUTING E(r</t>
    </r>
    <r>
      <rPr>
        <b/>
        <vertAlign val="subscript"/>
        <sz val="14"/>
        <rFont val="Arial"/>
        <family val="2"/>
      </rPr>
      <t>M</t>
    </r>
    <r>
      <rPr>
        <b/>
        <sz val="14"/>
        <rFont val="Arial"/>
        <family val="2"/>
      </rPr>
      <t>) USING MARKET MULTIPLE</t>
    </r>
  </si>
  <si>
    <t>Equity cash flow payout ratio</t>
  </si>
  <si>
    <t>Anticipated growth of market equity cash flow</t>
  </si>
  <si>
    <r>
      <t>Expected market return, E(r</t>
    </r>
    <r>
      <rPr>
        <vertAlign val="subscript"/>
        <sz val="10"/>
        <rFont val="Arial"/>
        <family val="2"/>
      </rPr>
      <t>M</t>
    </r>
    <r>
      <rPr>
        <sz val="11"/>
        <color theme="1"/>
        <rFont val="Calibri"/>
        <family val="2"/>
        <scheme val="minor"/>
      </rPr>
      <t>)</t>
    </r>
  </si>
  <si>
    <t>Market price/earnings multiple, December 2022</t>
  </si>
  <si>
    <t>Accumulated depreciation/Sales</t>
  </si>
  <si>
    <t>Total financial liablilities/Sales</t>
  </si>
  <si>
    <t>Total Debt</t>
  </si>
  <si>
    <t xml:space="preserve">Effective Interest Rate </t>
  </si>
  <si>
    <t>Average Effective Interest Rate</t>
  </si>
  <si>
    <t>GOOGL INTEREST RATE ON DEBT ANALYSIS</t>
  </si>
  <si>
    <t>After Tax Cost of Debt</t>
  </si>
  <si>
    <t>&lt;-- Analyst's estimate. Source:https://stockanalysis.com/stocks/googl/statistics/</t>
  </si>
  <si>
    <t>&lt;-- As company does not pay any dividends their payout ratio is 0</t>
  </si>
  <si>
    <r>
      <t>Cost of equity, r</t>
    </r>
    <r>
      <rPr>
        <b/>
        <vertAlign val="subscript"/>
        <sz val="10"/>
        <rFont val="Arial"/>
        <family val="2"/>
      </rPr>
      <t>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</si>
</sst>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#,##0,,"/>
    <numFmt numFmtId="166" formatCode="0.0%"/>
    <numFmt numFmtId="167" formatCode="_(* #,##0_);_(* \(#,##0\);_(* &quot;-&quot;??_);_(@_)"/>
    <numFmt numFmtId="168" formatCode="_(* #,##0.0_);_(* \(#,##0.0\);_(* &quot;-&quot;??_);_(@_)"/>
    <numFmt numFmtId="169" formatCode="0_);\(0\)"/>
    <numFmt numFmtId="170" formatCode="#,##0.0000"/>
    <numFmt numFmtId="171" formatCode="[$-409]d/mmm/yy;@"/>
    <numFmt numFmtId="172" formatCode="_(* #,##0.0_);_(* \(#,##0.0\)_)\ ;_(* 0_)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0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i/>
      <sz val="11"/>
      <name val="Arial"/>
      <family val="2"/>
    </font>
    <font>
      <i/>
      <sz val="11"/>
      <color theme="1"/>
      <name val="Arial"/>
      <family val="2"/>
    </font>
    <font>
      <b/>
      <sz val="12"/>
      <name val="Arial"/>
      <family val="2"/>
    </font>
    <font>
      <vertAlign val="subscript"/>
      <sz val="12.1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u/>
      <sz val="11"/>
      <color theme="10"/>
      <name val="Calibri"/>
      <family val="2"/>
      <scheme val="minor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sz val="11"/>
      <color indexed="8"/>
      <name val="Calibri"/>
      <family val="2"/>
      <scheme val="minor"/>
    </font>
    <font>
      <b/>
      <vertAlign val="subscript"/>
      <sz val="14"/>
      <name val="Arial"/>
      <family val="2"/>
    </font>
    <font>
      <sz val="11"/>
      <color theme="1"/>
      <name val="Calibri"/>
      <family val="2"/>
      <scheme val="minor"/>
    </font>
    <font>
      <b/>
      <vertAlign val="subscript"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5" fillId="0" borderId="0"/>
    <xf numFmtId="164" fontId="5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171" fontId="5" fillId="0" borderId="0"/>
    <xf numFmtId="0" fontId="19" fillId="0" borderId="0" applyNumberFormat="0" applyFill="0" applyBorder="0" applyAlignment="0" applyProtection="0"/>
    <xf numFmtId="9" fontId="24" fillId="0" borderId="0" applyFont="0" applyFill="0" applyBorder="0" applyAlignment="0" applyProtection="0"/>
  </cellStyleXfs>
  <cellXfs count="105">
    <xf numFmtId="0" fontId="0" fillId="0" borderId="0" xfId="0"/>
    <xf numFmtId="0" fontId="0" fillId="0" borderId="0" xfId="0" applyAlignment="1">
      <alignment wrapText="1"/>
    </xf>
    <xf numFmtId="3" fontId="0" fillId="0" borderId="0" xfId="0" applyNumberFormat="1"/>
    <xf numFmtId="0" fontId="0" fillId="0" borderId="0" xfId="0" applyAlignment="1">
      <alignment horizontal="left" indent="1"/>
    </xf>
    <xf numFmtId="0" fontId="1" fillId="0" borderId="0" xfId="0" applyFont="1"/>
    <xf numFmtId="3" fontId="1" fillId="0" borderId="0" xfId="0" applyNumberFormat="1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4" fontId="0" fillId="0" borderId="0" xfId="0" applyNumberFormat="1"/>
    <xf numFmtId="0" fontId="2" fillId="0" borderId="0" xfId="0" applyFont="1"/>
    <xf numFmtId="0" fontId="0" fillId="0" borderId="0" xfId="0" applyAlignment="1">
      <alignment horizontal="left" wrapText="1" indent="1"/>
    </xf>
    <xf numFmtId="3" fontId="0" fillId="0" borderId="0" xfId="0" applyNumberFormat="1" applyAlignment="1">
      <alignment wrapText="1"/>
    </xf>
    <xf numFmtId="0" fontId="0" fillId="0" borderId="0" xfId="0" applyAlignment="1">
      <alignment horizontal="left" indent="2"/>
    </xf>
    <xf numFmtId="165" fontId="0" fillId="0" borderId="0" xfId="0" applyNumberFormat="1"/>
    <xf numFmtId="10" fontId="0" fillId="0" borderId="0" xfId="0" applyNumberFormat="1"/>
    <xf numFmtId="0" fontId="0" fillId="2" borderId="0" xfId="0" applyFill="1"/>
    <xf numFmtId="10" fontId="0" fillId="2" borderId="0" xfId="0" applyNumberFormat="1" applyFill="1"/>
    <xf numFmtId="166" fontId="0" fillId="0" borderId="0" xfId="0" applyNumberFormat="1"/>
    <xf numFmtId="9" fontId="0" fillId="0" borderId="0" xfId="0" applyNumberFormat="1"/>
    <xf numFmtId="166" fontId="0" fillId="2" borderId="0" xfId="0" applyNumberFormat="1" applyFill="1"/>
    <xf numFmtId="3" fontId="0" fillId="2" borderId="0" xfId="0" applyNumberFormat="1" applyFill="1"/>
    <xf numFmtId="0" fontId="5" fillId="0" borderId="0" xfId="1"/>
    <xf numFmtId="0" fontId="7" fillId="0" borderId="0" xfId="1" applyFont="1"/>
    <xf numFmtId="0" fontId="8" fillId="0" borderId="0" xfId="1" applyFont="1" applyAlignment="1">
      <alignment horizontal="center"/>
    </xf>
    <xf numFmtId="9" fontId="7" fillId="0" borderId="0" xfId="1" applyNumberFormat="1" applyFont="1"/>
    <xf numFmtId="0" fontId="8" fillId="0" borderId="0" xfId="1" applyFont="1"/>
    <xf numFmtId="167" fontId="10" fillId="0" borderId="0" xfId="2" applyNumberFormat="1" applyFont="1"/>
    <xf numFmtId="167" fontId="11" fillId="0" borderId="0" xfId="2" applyNumberFormat="1" applyFont="1"/>
    <xf numFmtId="0" fontId="12" fillId="0" borderId="0" xfId="1" applyFont="1"/>
    <xf numFmtId="9" fontId="13" fillId="0" borderId="0" xfId="2" applyNumberFormat="1" applyFont="1"/>
    <xf numFmtId="168" fontId="10" fillId="0" borderId="0" xfId="2" applyNumberFormat="1" applyFont="1"/>
    <xf numFmtId="9" fontId="10" fillId="0" borderId="0" xfId="2" applyNumberFormat="1" applyFont="1"/>
    <xf numFmtId="167" fontId="7" fillId="0" borderId="0" xfId="1" applyNumberFormat="1" applyFont="1"/>
    <xf numFmtId="167" fontId="10" fillId="2" borderId="0" xfId="2" applyNumberFormat="1" applyFont="1" applyFill="1"/>
    <xf numFmtId="169" fontId="8" fillId="0" borderId="0" xfId="1" applyNumberFormat="1" applyFont="1"/>
    <xf numFmtId="169" fontId="8" fillId="0" borderId="0" xfId="1" applyNumberFormat="1" applyFont="1" applyAlignment="1">
      <alignment horizontal="center"/>
    </xf>
    <xf numFmtId="169" fontId="7" fillId="0" borderId="0" xfId="1" applyNumberFormat="1" applyFont="1"/>
    <xf numFmtId="0" fontId="7" fillId="0" borderId="0" xfId="3" applyFont="1"/>
    <xf numFmtId="0" fontId="10" fillId="0" borderId="0" xfId="3"/>
    <xf numFmtId="0" fontId="10" fillId="0" borderId="0" xfId="3" applyAlignment="1">
      <alignment horizontal="right"/>
    </xf>
    <xf numFmtId="10" fontId="0" fillId="0" borderId="0" xfId="4" applyNumberFormat="1" applyFont="1"/>
    <xf numFmtId="0" fontId="8" fillId="0" borderId="0" xfId="3" applyFont="1" applyAlignment="1">
      <alignment horizontal="center"/>
    </xf>
    <xf numFmtId="3" fontId="10" fillId="0" borderId="0" xfId="3" applyNumberFormat="1"/>
    <xf numFmtId="4" fontId="10" fillId="0" borderId="0" xfId="3" applyNumberFormat="1"/>
    <xf numFmtId="0" fontId="8" fillId="0" borderId="0" xfId="3" applyFont="1"/>
    <xf numFmtId="3" fontId="11" fillId="0" borderId="0" xfId="3" applyNumberFormat="1" applyFont="1"/>
    <xf numFmtId="0" fontId="11" fillId="0" borderId="0" xfId="3" applyFont="1"/>
    <xf numFmtId="0" fontId="16" fillId="0" borderId="0" xfId="1" applyFont="1"/>
    <xf numFmtId="3" fontId="5" fillId="0" borderId="0" xfId="1" applyNumberFormat="1"/>
    <xf numFmtId="167" fontId="0" fillId="0" borderId="0" xfId="2" applyNumberFormat="1" applyFont="1"/>
    <xf numFmtId="9" fontId="16" fillId="0" borderId="0" xfId="1" applyNumberFormat="1" applyFont="1" applyAlignment="1">
      <alignment horizontal="center"/>
    </xf>
    <xf numFmtId="167" fontId="0" fillId="0" borderId="0" xfId="2" applyNumberFormat="1" applyFont="1" applyAlignment="1">
      <alignment horizontal="right"/>
    </xf>
    <xf numFmtId="167" fontId="11" fillId="0" borderId="0" xfId="2" applyNumberFormat="1" applyFont="1" applyAlignment="1">
      <alignment horizontal="right"/>
    </xf>
    <xf numFmtId="164" fontId="0" fillId="0" borderId="0" xfId="2" applyFont="1"/>
    <xf numFmtId="4" fontId="7" fillId="0" borderId="0" xfId="1" applyNumberFormat="1" applyFont="1"/>
    <xf numFmtId="3" fontId="7" fillId="0" borderId="0" xfId="1" applyNumberFormat="1" applyFont="1"/>
    <xf numFmtId="166" fontId="7" fillId="0" borderId="0" xfId="1" applyNumberFormat="1" applyFont="1"/>
    <xf numFmtId="10" fontId="7" fillId="0" borderId="0" xfId="1" applyNumberFormat="1" applyFont="1"/>
    <xf numFmtId="167" fontId="10" fillId="0" borderId="0" xfId="2" applyNumberFormat="1" applyFont="1" applyFill="1"/>
    <xf numFmtId="170" fontId="7" fillId="0" borderId="0" xfId="1" applyNumberFormat="1" applyFont="1"/>
    <xf numFmtId="3" fontId="8" fillId="0" borderId="0" xfId="1" applyNumberFormat="1" applyFont="1"/>
    <xf numFmtId="37" fontId="10" fillId="0" borderId="0" xfId="2" applyNumberFormat="1" applyFont="1" applyAlignment="1">
      <alignment horizontal="right"/>
    </xf>
    <xf numFmtId="4" fontId="5" fillId="0" borderId="0" xfId="5" applyNumberFormat="1"/>
    <xf numFmtId="171" fontId="5" fillId="0" borderId="0" xfId="5"/>
    <xf numFmtId="3" fontId="5" fillId="0" borderId="0" xfId="5" applyNumberFormat="1"/>
    <xf numFmtId="10" fontId="5" fillId="0" borderId="0" xfId="5" applyNumberFormat="1"/>
    <xf numFmtId="171" fontId="16" fillId="0" borderId="0" xfId="5" applyFont="1"/>
    <xf numFmtId="15" fontId="0" fillId="0" borderId="0" xfId="0" applyNumberFormat="1"/>
    <xf numFmtId="166" fontId="0" fillId="0" borderId="0" xfId="4" applyNumberFormat="1" applyFont="1"/>
    <xf numFmtId="3" fontId="5" fillId="0" borderId="0" xfId="1" applyNumberFormat="1" applyAlignment="1">
      <alignment horizontal="center"/>
    </xf>
    <xf numFmtId="9" fontId="16" fillId="0" borderId="0" xfId="1" applyNumberFormat="1" applyFont="1"/>
    <xf numFmtId="166" fontId="16" fillId="0" borderId="0" xfId="1" applyNumberFormat="1" applyFont="1"/>
    <xf numFmtId="10" fontId="16" fillId="0" borderId="0" xfId="1" applyNumberFormat="1" applyFont="1"/>
    <xf numFmtId="3" fontId="16" fillId="0" borderId="0" xfId="1" applyNumberFormat="1" applyFont="1"/>
    <xf numFmtId="4" fontId="11" fillId="0" borderId="0" xfId="3" applyNumberFormat="1" applyFont="1"/>
    <xf numFmtId="0" fontId="21" fillId="0" borderId="0" xfId="6" applyFont="1"/>
    <xf numFmtId="0" fontId="11" fillId="0" borderId="0" xfId="0" applyFont="1"/>
    <xf numFmtId="172" fontId="22" fillId="0" borderId="0" xfId="0" applyNumberFormat="1" applyFont="1" applyAlignment="1">
      <alignment horizontal="right" vertical="top" wrapText="1"/>
    </xf>
    <xf numFmtId="10" fontId="0" fillId="3" borderId="0" xfId="0" applyNumberFormat="1" applyFill="1"/>
    <xf numFmtId="2" fontId="7" fillId="0" borderId="0" xfId="3" applyNumberFormat="1" applyFont="1"/>
    <xf numFmtId="9" fontId="0" fillId="0" borderId="0" xfId="4" applyFont="1"/>
    <xf numFmtId="0" fontId="10" fillId="2" borderId="0" xfId="3" applyFill="1"/>
    <xf numFmtId="10" fontId="0" fillId="2" borderId="0" xfId="4" applyNumberFormat="1" applyFont="1" applyFill="1"/>
    <xf numFmtId="10" fontId="0" fillId="0" borderId="0" xfId="7" applyNumberFormat="1" applyFont="1"/>
    <xf numFmtId="1" fontId="0" fillId="0" borderId="0" xfId="0" applyNumberFormat="1"/>
    <xf numFmtId="10" fontId="1" fillId="0" borderId="0" xfId="7" applyNumberFormat="1" applyFont="1"/>
    <xf numFmtId="10" fontId="1" fillId="0" borderId="0" xfId="0" applyNumberFormat="1" applyFont="1"/>
    <xf numFmtId="10" fontId="16" fillId="0" borderId="0" xfId="5" applyNumberFormat="1" applyFont="1"/>
    <xf numFmtId="171" fontId="16" fillId="2" borderId="0" xfId="5" applyFont="1" applyFill="1"/>
    <xf numFmtId="10" fontId="16" fillId="2" borderId="0" xfId="4" applyNumberFormat="1" applyFont="1" applyFill="1"/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20" fillId="0" borderId="0" xfId="0" applyFont="1" applyAlignment="1">
      <alignment horizontal="center"/>
    </xf>
    <xf numFmtId="0" fontId="6" fillId="0" borderId="0" xfId="1" applyFont="1" applyAlignment="1">
      <alignment horizontal="center"/>
    </xf>
    <xf numFmtId="0" fontId="14" fillId="0" borderId="0" xfId="1" applyFont="1" applyAlignment="1">
      <alignment horizontal="center"/>
    </xf>
    <xf numFmtId="0" fontId="16" fillId="0" borderId="1" xfId="1" applyFont="1" applyBorder="1" applyAlignment="1">
      <alignment horizontal="center"/>
    </xf>
    <xf numFmtId="0" fontId="16" fillId="0" borderId="2" xfId="1" applyFont="1" applyBorder="1" applyAlignment="1">
      <alignment horizontal="center"/>
    </xf>
    <xf numFmtId="0" fontId="16" fillId="0" borderId="3" xfId="1" applyFont="1" applyBorder="1" applyAlignment="1">
      <alignment horizontal="center"/>
    </xf>
    <xf numFmtId="0" fontId="5" fillId="0" borderId="4" xfId="1" applyBorder="1" applyAlignment="1">
      <alignment horizontal="center" wrapText="1"/>
    </xf>
    <xf numFmtId="0" fontId="5" fillId="0" borderId="5" xfId="1" applyBorder="1" applyAlignment="1">
      <alignment horizontal="center" wrapText="1"/>
    </xf>
    <xf numFmtId="0" fontId="5" fillId="0" borderId="6" xfId="1" applyBorder="1" applyAlignment="1">
      <alignment horizontal="center" wrapText="1"/>
    </xf>
    <xf numFmtId="0" fontId="5" fillId="0" borderId="7" xfId="1" applyBorder="1" applyAlignment="1">
      <alignment horizontal="center" wrapText="1"/>
    </xf>
    <xf numFmtId="171" fontId="6" fillId="0" borderId="0" xfId="5" applyFont="1" applyAlignment="1">
      <alignment horizontal="center"/>
    </xf>
    <xf numFmtId="0" fontId="6" fillId="0" borderId="0" xfId="3" applyFont="1" applyAlignment="1">
      <alignment horizontal="center" vertical="center" wrapText="1"/>
    </xf>
  </cellXfs>
  <cellStyles count="8">
    <cellStyle name="Comma 2" xfId="2" xr:uid="{D15EF485-DD52-4A04-8FB6-5F5031B54629}"/>
    <cellStyle name="Hyperlink" xfId="6" builtinId="8"/>
    <cellStyle name="Normal" xfId="0" builtinId="0"/>
    <cellStyle name="Normal 2" xfId="3" xr:uid="{2CC41568-FE36-45FA-AECD-59C36D892DFE}"/>
    <cellStyle name="Normal 5" xfId="1" xr:uid="{553368AB-8E82-4DBA-9DDE-1DA00E683810}"/>
    <cellStyle name="Normal_Tyson" xfId="5" xr:uid="{B75735FD-F2BF-4A9D-A743-CE3E0A280CAC}"/>
    <cellStyle name="Percent" xfId="7" builtinId="5"/>
    <cellStyle name="Percent 2" xfId="4" xr:uid="{5CA66D41-3517-435E-8C6F-8A3AA901F1D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GOOGL's Revenues by</a:t>
            </a:r>
            <a:r>
              <a:rPr lang="en-US" sz="1600" baseline="0"/>
              <a:t> Year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'YoY sales growth'!$B$2</c:f>
              <c:strCache>
                <c:ptCount val="1"/>
                <c:pt idx="0">
                  <c:v>Revenue ($M)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'YoY sales growth'!$A$3:$A$12</c:f>
              <c:numCache>
                <c:formatCode>General</c:formatCode>
                <c:ptCount val="10"/>
                <c:pt idx="0">
                  <c:v>2022</c:v>
                </c:pt>
                <c:pt idx="1">
                  <c:v>2021</c:v>
                </c:pt>
                <c:pt idx="2">
                  <c:v>2020</c:v>
                </c:pt>
                <c:pt idx="3">
                  <c:v>2019</c:v>
                </c:pt>
                <c:pt idx="4">
                  <c:v>2018</c:v>
                </c:pt>
                <c:pt idx="5">
                  <c:v>2017</c:v>
                </c:pt>
                <c:pt idx="6">
                  <c:v>2016</c:v>
                </c:pt>
                <c:pt idx="7">
                  <c:v>2015</c:v>
                </c:pt>
                <c:pt idx="8">
                  <c:v>2014</c:v>
                </c:pt>
                <c:pt idx="9">
                  <c:v>2013</c:v>
                </c:pt>
              </c:numCache>
            </c:numRef>
          </c:xVal>
          <c:yVal>
            <c:numRef>
              <c:f>'YoY sales growth'!$B$3:$B$12</c:f>
              <c:numCache>
                <c:formatCode>#,##0,,</c:formatCode>
                <c:ptCount val="10"/>
                <c:pt idx="0">
                  <c:v>282836000000</c:v>
                </c:pt>
                <c:pt idx="1">
                  <c:v>257637000000</c:v>
                </c:pt>
                <c:pt idx="2">
                  <c:v>182527000000</c:v>
                </c:pt>
                <c:pt idx="3">
                  <c:v>161857000000</c:v>
                </c:pt>
                <c:pt idx="4">
                  <c:v>136819000000</c:v>
                </c:pt>
                <c:pt idx="5">
                  <c:v>110855000000</c:v>
                </c:pt>
                <c:pt idx="6">
                  <c:v>90272000000</c:v>
                </c:pt>
                <c:pt idx="7">
                  <c:v>74989000000</c:v>
                </c:pt>
                <c:pt idx="8">
                  <c:v>66001000000</c:v>
                </c:pt>
                <c:pt idx="9">
                  <c:v>55519000000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E3-4142-8A31-CB2C7C16F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708015"/>
        <c:axId val="1903794623"/>
      </c:scatterChart>
      <c:valAx>
        <c:axId val="14647080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3794623"/>
        <c:crosses val="autoZero"/>
        <c:crossBetween val="midCat"/>
      </c:valAx>
      <c:valAx>
        <c:axId val="190379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,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708015"/>
        <c:crosses val="autoZero"/>
        <c:crossBetween val="midCat"/>
        <c:dispUnits>
          <c:builtInUnit val="thousand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US"/>
                    <a:t>$ billions 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Total Costs Excluding Depreciation</a:t>
            </a:r>
            <a:r>
              <a:rPr lang="en-US" sz="1100" baseline="0"/>
              <a:t> vs. Sales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'Operating costs analysis'!$A$9</c:f>
              <c:strCache>
                <c:ptCount val="1"/>
                <c:pt idx="0">
                  <c:v>Total costs excluding depreciation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6.6892324362308672E-2"/>
                  <c:y val="-0.13124092624516609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'Operating costs analysis'!$B$3:$E$3</c:f>
              <c:numCache>
                <c:formatCode>#,##0</c:formatCode>
                <c:ptCount val="4"/>
                <c:pt idx="0">
                  <c:v>161857</c:v>
                </c:pt>
                <c:pt idx="1">
                  <c:v>182527</c:v>
                </c:pt>
                <c:pt idx="2">
                  <c:v>257637</c:v>
                </c:pt>
                <c:pt idx="3">
                  <c:v>282836</c:v>
                </c:pt>
              </c:numCache>
            </c:numRef>
          </c:xVal>
          <c:yVal>
            <c:numRef>
              <c:f>'Operating costs analysis'!$B$9:$E$9</c:f>
              <c:numCache>
                <c:formatCode>#,##0</c:formatCode>
                <c:ptCount val="4"/>
                <c:pt idx="0">
                  <c:v>112908</c:v>
                </c:pt>
                <c:pt idx="1">
                  <c:v>122496</c:v>
                </c:pt>
                <c:pt idx="2">
                  <c:v>155626</c:v>
                </c:pt>
                <c:pt idx="3">
                  <c:v>197396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67-4D8C-8CF7-B90901239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548480"/>
        <c:axId val="1541190816"/>
      </c:scatterChart>
      <c:valAx>
        <c:axId val="845548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190816"/>
        <c:crosses val="autoZero"/>
        <c:crossBetween val="midCat"/>
      </c:valAx>
      <c:valAx>
        <c:axId val="154119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548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Costs Excluding Depreciation % of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'Operating costs analysis'!$A$10</c:f>
              <c:strCache>
                <c:ptCount val="1"/>
                <c:pt idx="0">
                  <c:v>Costs excluding depreciation % of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'Operating costs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'Operating costs analysis'!$B$10:$E$10</c:f>
              <c:numCache>
                <c:formatCode>0.0%</c:formatCode>
                <c:ptCount val="4"/>
                <c:pt idx="0">
                  <c:v>0.69757872690090639</c:v>
                </c:pt>
                <c:pt idx="1">
                  <c:v>0.67111167115002168</c:v>
                </c:pt>
                <c:pt idx="2">
                  <c:v>0.60405143671134187</c:v>
                </c:pt>
                <c:pt idx="3">
                  <c:v>0.69791681398407557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05-4772-A595-047942F14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7025488"/>
        <c:axId val="1731820608"/>
      </c:barChart>
      <c:catAx>
        <c:axId val="153702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820608"/>
        <c:crosses val="autoZero"/>
        <c:auto val="1"/>
        <c:lblAlgn val="ctr"/>
        <c:lblOffset val="100"/>
        <c:noMultiLvlLbl val="0"/>
      </c:catAx>
      <c:valAx>
        <c:axId val="173182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02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 i="0" u="none" strike="noStrike" baseline="0">
                <a:effectLst/>
              </a:rPr>
              <a:t>GOOGL WORKING CAPITAL ANALYSIS</a:t>
            </a:r>
            <a:r>
              <a:rPr lang="en-IN" sz="1400" b="0" i="0" u="none" strike="noStrike" baseline="0"/>
              <a:t> 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'NWC analysis'!$A$10</c:f>
              <c:strCache>
                <c:ptCount val="1"/>
                <c:pt idx="0">
                  <c:v>Current oper. assets % of 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'NWC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'NWC analysis'!$B$10:$E$10</c:f>
              <c:numCache>
                <c:formatCode>0.00%</c:formatCode>
                <c:ptCount val="4"/>
                <c:pt idx="0">
                  <c:v>0.20328438065699969</c:v>
                </c:pt>
                <c:pt idx="1">
                  <c:v>0.20600787828650008</c:v>
                </c:pt>
                <c:pt idx="2">
                  <c:v>0.18822607001323569</c:v>
                </c:pt>
                <c:pt idx="3">
                  <c:v>0.18043318389455373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ED-43DE-BE96-A1999F755110}"/>
            </c:ext>
          </c:extLst>
        </c:ser>
        <c:ser>
          <c:idx val="1"/>
          <c:order val="1"/>
          <c:tx>
            <c:strRef>
              <c:f>'NWC analysis'!$A$16</c:f>
              <c:strCache>
                <c:ptCount val="1"/>
                <c:pt idx="0">
                  <c:v>Current oper. liabilities % of 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'NWC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'NWC analysis'!$B$16:$E$16</c:f>
              <c:numCache>
                <c:formatCode>0.00%</c:formatCode>
                <c:ptCount val="4"/>
                <c:pt idx="0">
                  <c:v>3.6050340732869141E-2</c:v>
                </c:pt>
                <c:pt idx="1">
                  <c:v>3.8755910084535439E-2</c:v>
                </c:pt>
                <c:pt idx="2">
                  <c:v>2.3432193357320573E-2</c:v>
                </c:pt>
                <c:pt idx="3">
                  <c:v>1.8130648149457636E-2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ED-43DE-BE96-A1999F755110}"/>
            </c:ext>
          </c:extLst>
        </c:ser>
        <c:ser>
          <c:idx val="2"/>
          <c:order val="2"/>
          <c:tx>
            <c:strRef>
              <c:f>'NWC analysis'!$A$19</c:f>
              <c:strCache>
                <c:ptCount val="1"/>
                <c:pt idx="0">
                  <c:v>NWC % of sales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'NWC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'NWC analysis'!$B$19:$E$19</c:f>
              <c:numCache>
                <c:formatCode>0.00%</c:formatCode>
                <c:ptCount val="4"/>
                <c:pt idx="0">
                  <c:v>0.16723403992413055</c:v>
                </c:pt>
                <c:pt idx="1">
                  <c:v>0.16725196820196464</c:v>
                </c:pt>
                <c:pt idx="2">
                  <c:v>0.16479387665591511</c:v>
                </c:pt>
                <c:pt idx="3">
                  <c:v>0.16230253574509609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ED-43DE-BE96-A1999F755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90912"/>
        <c:axId val="4449360"/>
      </c:lineChart>
      <c:catAx>
        <c:axId val="12890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9360"/>
        <c:crosses val="autoZero"/>
        <c:auto val="1"/>
        <c:lblAlgn val="ctr"/>
        <c:lblOffset val="100"/>
        <c:noMultiLvlLbl val="0"/>
      </c:catAx>
      <c:valAx>
        <c:axId val="444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90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 i="0" u="none" strike="noStrike" baseline="0">
                <a:effectLst/>
              </a:rPr>
              <a:t>GOOGL FIXED ASSET ANALYSIS</a:t>
            </a:r>
            <a:r>
              <a:rPr lang="en-IN" sz="1400" b="0" i="0" u="none" strike="noStrike" baseline="0"/>
              <a:t> 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'Fixed asset analysis'!$A$9</c:f>
              <c:strCache>
                <c:ptCount val="1"/>
                <c:pt idx="0">
                  <c:v>Gross fixed asset/sales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'Fixed asset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'Fixed asset analysis'!$B$9:$E$9</c:f>
              <c:numCache>
                <c:formatCode>0.0%</c:formatCode>
                <c:ptCount val="4"/>
                <c:pt idx="0">
                  <c:v>0.71141810363468994</c:v>
                </c:pt>
                <c:pt idx="1">
                  <c:v>0.75973965495515727</c:v>
                </c:pt>
                <c:pt idx="2">
                  <c:v>0.62092013181336536</c:v>
                </c:pt>
                <c:pt idx="3">
                  <c:v>0.6579466545984245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9B-4AC0-91E6-7ECF3B91A975}"/>
            </c:ext>
          </c:extLst>
        </c:ser>
        <c:ser>
          <c:idx val="1"/>
          <c:order val="1"/>
          <c:tx>
            <c:strRef>
              <c:f>'Fixed asset analysis'!$A$10</c:f>
              <c:strCache>
                <c:ptCount val="1"/>
                <c:pt idx="0">
                  <c:v>Net fixed asset/sales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'Fixed asset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'Fixed asset analysis'!$B$10:$E$10</c:f>
              <c:numCache>
                <c:formatCode>0.0%</c:formatCode>
                <c:ptCount val="4"/>
                <c:pt idx="0">
                  <c:v>0.52260328561631564</c:v>
                </c:pt>
                <c:pt idx="1">
                  <c:v>0.53120908139617695</c:v>
                </c:pt>
                <c:pt idx="2">
                  <c:v>0.42912314613196084</c:v>
                </c:pt>
                <c:pt idx="3">
                  <c:v>0.44919670763269176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9B-4AC0-91E6-7ECF3B91A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258544"/>
        <c:axId val="13562304"/>
      </c:lineChart>
      <c:catAx>
        <c:axId val="13025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62304"/>
        <c:crosses val="autoZero"/>
        <c:auto val="1"/>
        <c:lblAlgn val="ctr"/>
        <c:lblOffset val="100"/>
        <c:noMultiLvlLbl val="0"/>
      </c:catAx>
      <c:valAx>
        <c:axId val="1356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58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 i="0" u="none" strike="noStrike" baseline="0">
                <a:effectLst/>
              </a:rPr>
              <a:t>GOOGL DEPRECIATION ANALYSIS</a:t>
            </a:r>
            <a:r>
              <a:rPr lang="en-IN" sz="1400" b="0" i="0" u="none" strike="noStrike" baseline="0"/>
              <a:t> 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'Depreciation analysis'!$A$12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'Depreciation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'Depreciation analysis'!$B$12:$E$12</c:f>
              <c:numCache>
                <c:formatCode>#,##0</c:formatCode>
                <c:ptCount val="4"/>
                <c:pt idx="0">
                  <c:v>161857</c:v>
                </c:pt>
                <c:pt idx="1">
                  <c:v>182527</c:v>
                </c:pt>
                <c:pt idx="2">
                  <c:v>257637</c:v>
                </c:pt>
                <c:pt idx="3">
                  <c:v>282836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31-4CED-8320-AFEBB15E7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72957600"/>
        <c:axId val="128303312"/>
      </c:barChart>
      <c:lineChart>
        <c:grouping val="standard"/>
        <c:varyColors val="0"/>
        <c:ser>
          <c:idx val="1"/>
          <c:order val="1"/>
          <c:tx>
            <c:strRef>
              <c:f>'Depreciation analysis'!$A$13</c:f>
              <c:strCache>
                <c:ptCount val="1"/>
                <c:pt idx="0">
                  <c:v>Accumulated depreciation/Sales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'Depreciation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'Depreciation analysis'!$B$13:$E$13</c:f>
              <c:numCache>
                <c:formatCode>0.00%</c:formatCode>
                <c:ptCount val="4"/>
                <c:pt idx="0">
                  <c:v>0.18881481801837424</c:v>
                </c:pt>
                <c:pt idx="1">
                  <c:v>0.22853057355898032</c:v>
                </c:pt>
                <c:pt idx="2">
                  <c:v>0.19179698568140446</c:v>
                </c:pt>
                <c:pt idx="3">
                  <c:v>0.20874994696573279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31-4CED-8320-AFEBB15E7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9890976"/>
        <c:axId val="128301824"/>
      </c:lineChart>
      <c:catAx>
        <c:axId val="1972957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03312"/>
        <c:crosses val="autoZero"/>
        <c:auto val="1"/>
        <c:lblAlgn val="ctr"/>
        <c:lblOffset val="100"/>
        <c:noMultiLvlLbl val="0"/>
      </c:catAx>
      <c:valAx>
        <c:axId val="12830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957600"/>
        <c:crosses val="autoZero"/>
        <c:crossBetween val="between"/>
      </c:valAx>
      <c:valAx>
        <c:axId val="128301824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890976"/>
        <c:crosses val="max"/>
        <c:crossBetween val="between"/>
      </c:valAx>
      <c:catAx>
        <c:axId val="17798909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8301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 i="0" u="none" strike="noStrike" baseline="0">
                <a:effectLst/>
              </a:rPr>
              <a:t>GOOGL FINANCIAL LIABILITIES ANALYSIS</a:t>
            </a:r>
            <a:r>
              <a:rPr lang="en-IN" sz="1400" b="0" i="0" u="none" strike="noStrike" baseline="0"/>
              <a:t> 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'Liabilities analysis'!$A$12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'Liabilities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'Liabilities analysis'!$B$12:$E$12</c:f>
              <c:numCache>
                <c:formatCode>#,##0</c:formatCode>
                <c:ptCount val="4"/>
                <c:pt idx="0">
                  <c:v>161857</c:v>
                </c:pt>
                <c:pt idx="1">
                  <c:v>182527</c:v>
                </c:pt>
                <c:pt idx="2">
                  <c:v>257637</c:v>
                </c:pt>
                <c:pt idx="3">
                  <c:v>282836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E9-483C-B5C3-AF3DFAE89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35520"/>
        <c:axId val="1541608464"/>
      </c:barChart>
      <c:lineChart>
        <c:grouping val="standard"/>
        <c:varyColors val="0"/>
        <c:ser>
          <c:idx val="1"/>
          <c:order val="1"/>
          <c:tx>
            <c:strRef>
              <c:f>'Liabilities analysis'!$A$13</c:f>
              <c:strCache>
                <c:ptCount val="1"/>
                <c:pt idx="0">
                  <c:v>Total financial liablilities/Sales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'Liabilities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'Liabilities analysis'!$B$13:$E$13</c:f>
              <c:numCache>
                <c:formatCode>0.00%</c:formatCode>
                <c:ptCount val="4"/>
                <c:pt idx="0">
                  <c:v>0.41224043445757674</c:v>
                </c:pt>
                <c:pt idx="1">
                  <c:v>0.47913459378612477</c:v>
                </c:pt>
                <c:pt idx="2">
                  <c:v>0.38157562772427872</c:v>
                </c:pt>
                <c:pt idx="3">
                  <c:v>0.35385877328204329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E9-483C-B5C3-AF3DFAE89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36480"/>
        <c:axId val="1541608960"/>
      </c:lineChart>
      <c:catAx>
        <c:axId val="1353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608464"/>
        <c:crosses val="autoZero"/>
        <c:auto val="1"/>
        <c:lblAlgn val="ctr"/>
        <c:lblOffset val="100"/>
        <c:noMultiLvlLbl val="0"/>
      </c:catAx>
      <c:valAx>
        <c:axId val="154160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5520"/>
        <c:crosses val="autoZero"/>
        <c:crossBetween val="between"/>
      </c:valAx>
      <c:valAx>
        <c:axId val="1541608960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6480"/>
        <c:crosses val="max"/>
        <c:crossBetween val="between"/>
      </c:valAx>
      <c:catAx>
        <c:axId val="135364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416089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 i="0" u="none" strike="noStrike" baseline="0">
                <a:effectLst/>
              </a:rPr>
              <a:t>GOOGL INTEREST RATE ON DEBT ANALYSIS</a:t>
            </a:r>
            <a:r>
              <a:rPr lang="en-IN" sz="1400" b="0" i="0" u="none" strike="noStrike" baseline="0"/>
              <a:t> 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'Interest Rate on Debt Analysis'!$A$4</c:f>
              <c:strCache>
                <c:ptCount val="1"/>
                <c:pt idx="0">
                  <c:v>Total Debt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'Interest Rate on Debt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'Interest Rate on Debt Analysis'!$B$4:$E$4</c:f>
              <c:numCache>
                <c:formatCode>0</c:formatCode>
                <c:ptCount val="4"/>
                <c:pt idx="0">
                  <c:v>16082</c:v>
                </c:pt>
                <c:pt idx="1">
                  <c:v>27872</c:v>
                </c:pt>
                <c:pt idx="2">
                  <c:v>28508</c:v>
                </c:pt>
                <c:pt idx="3">
                  <c:v>29977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F7-41B3-A559-8B7A0C1968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422368"/>
        <c:axId val="135756560"/>
      </c:barChart>
      <c:lineChart>
        <c:grouping val="standard"/>
        <c:varyColors val="0"/>
        <c:ser>
          <c:idx val="1"/>
          <c:order val="1"/>
          <c:tx>
            <c:strRef>
              <c:f>'Interest Rate on Debt Analysis'!$A$5</c:f>
              <c:strCache>
                <c:ptCount val="1"/>
                <c:pt idx="0">
                  <c:v>Effective Interest Rate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'Interest Rate on Debt Analysis'!$B$2:$E$2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'Interest Rate on Debt Analysis'!$B$5:$E$5</c:f>
              <c:numCache>
                <c:formatCode>0.00%</c:formatCode>
                <c:ptCount val="4"/>
                <c:pt idx="0">
                  <c:v>6.2181320731252328E-3</c:v>
                </c:pt>
                <c:pt idx="1">
                  <c:v>4.8435706084959812E-3</c:v>
                </c:pt>
                <c:pt idx="2">
                  <c:v>1.2136944015714886E-2</c:v>
                </c:pt>
                <c:pt idx="3">
                  <c:v>1.1909130333255497E-2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7-41B3-A559-8B7A0C1968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421408"/>
        <c:axId val="135756064"/>
      </c:lineChart>
      <c:catAx>
        <c:axId val="13842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756560"/>
        <c:crosses val="autoZero"/>
        <c:auto val="1"/>
        <c:lblAlgn val="ctr"/>
        <c:lblOffset val="100"/>
        <c:noMultiLvlLbl val="0"/>
      </c:catAx>
      <c:valAx>
        <c:axId val="13575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422368"/>
        <c:crosses val="autoZero"/>
        <c:crossBetween val="between"/>
      </c:valAx>
      <c:valAx>
        <c:axId val="135756064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421408"/>
        <c:crosses val="max"/>
        <c:crossBetween val="between"/>
      </c:valAx>
      <c:catAx>
        <c:axId val="1384214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57560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90487</xdr:colOff>
      <xdr:row>4</xdr:row>
      <xdr:rowOff>60325</xdr:rowOff>
    </xdr:from>
    <xdr:to>
      <xdr:col>9</xdr:col>
      <xdr:colOff>590550</xdr:colOff>
      <xdr:row>18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412A78-94E3-4997-BCF2-54E6193110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</xdr:colOff>
      <xdr:row>13</xdr:row>
      <xdr:rowOff>41276</xdr:rowOff>
    </xdr:from>
    <xdr:to>
      <xdr:col>3</xdr:col>
      <xdr:colOff>1</xdr:colOff>
      <xdr:row>27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DCE8D3-1051-4F17-9D5E-2ACCA8A06B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38099</xdr:colOff>
      <xdr:row>13</xdr:row>
      <xdr:rowOff>41275</xdr:rowOff>
    </xdr:from>
    <xdr:to>
      <xdr:col>5</xdr:col>
      <xdr:colOff>2022474</xdr:colOff>
      <xdr:row>27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CA506C2-B35E-407B-ACD0-6241F1AFD2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19</xdr:row>
      <xdr:rowOff>76200</xdr:rowOff>
    </xdr:from>
    <xdr:to>
      <xdr:col>5</xdr:col>
      <xdr:colOff>965199</xdr:colOff>
      <xdr:row>34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6F5BC19-3E2D-AB46-5453-0D0A214BF7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34924</xdr:colOff>
      <xdr:row>14</xdr:row>
      <xdr:rowOff>57150</xdr:rowOff>
    </xdr:from>
    <xdr:to>
      <xdr:col>4</xdr:col>
      <xdr:colOff>374649</xdr:colOff>
      <xdr:row>29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C5E6E3-EDD7-C923-F08F-DCCDD6A324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53974</xdr:colOff>
      <xdr:row>13</xdr:row>
      <xdr:rowOff>120650</xdr:rowOff>
    </xdr:from>
    <xdr:to>
      <xdr:col>5</xdr:col>
      <xdr:colOff>482599</xdr:colOff>
      <xdr:row>28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09D9FC-A846-725F-4DE7-71B64211B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53975</xdr:colOff>
      <xdr:row>13</xdr:row>
      <xdr:rowOff>57150</xdr:rowOff>
    </xdr:from>
    <xdr:to>
      <xdr:col>3</xdr:col>
      <xdr:colOff>447675</xdr:colOff>
      <xdr:row>28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BBB0D0-DC28-3CD7-8B43-F245A3CF8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22225</xdr:colOff>
      <xdr:row>7</xdr:row>
      <xdr:rowOff>38100</xdr:rowOff>
    </xdr:from>
    <xdr:to>
      <xdr:col>5</xdr:col>
      <xdr:colOff>276225</xdr:colOff>
      <xdr:row>22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3B9A3F-0CCB-5CB0-2CD8-AB80573C15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2187576</xdr:colOff>
      <xdr:row>107</xdr:row>
      <xdr:rowOff>79375</xdr:rowOff>
    </xdr:from>
    <xdr:to>
      <xdr:col>1</xdr:col>
      <xdr:colOff>777875</xdr:colOff>
      <xdr:row>108</xdr:row>
      <xdr:rowOff>120651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84F0D43-8CD3-4287-A248-96A92277DE35}"/>
            </a:ext>
          </a:extLst>
        </xdr:cNvPr>
        <xdr:cNvCxnSpPr/>
      </xdr:nvCxnSpPr>
      <xdr:spPr>
        <a:xfrm flipH="1">
          <a:off x="2187576" y="17411700"/>
          <a:ext cx="1733549" cy="21590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2432050</xdr:colOff>
      <xdr:row>85</xdr:row>
      <xdr:rowOff>9525</xdr:rowOff>
    </xdr:from>
    <xdr:to>
      <xdr:col>1</xdr:col>
      <xdr:colOff>768350</xdr:colOff>
      <xdr:row>86</xdr:row>
      <xdr:rowOff>117475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C0855D5C-BC7A-44E5-872D-6CCE6462002E}"/>
            </a:ext>
          </a:extLst>
        </xdr:cNvPr>
        <xdr:cNvCxnSpPr/>
      </xdr:nvCxnSpPr>
      <xdr:spPr>
        <a:xfrm flipH="1">
          <a:off x="2432050" y="14249400"/>
          <a:ext cx="1479550" cy="2825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nay\Desktop\MSQF\FM\Project\LLY.xlsm" TargetMode="External"/><Relationship Id="rId1" Type="http://schemas.openxmlformats.org/officeDocument/2006/relationships/externalLinkPath" Target="LL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LY Income Statement"/>
      <sheetName val="LLY Balance Sheet"/>
      <sheetName val="LLY Cash-flows"/>
      <sheetName val="YoY sales growth"/>
      <sheetName val="Operating costs analysis"/>
      <sheetName val="Fixed asset analysis"/>
      <sheetName val="NWC analysis"/>
      <sheetName val="Depreciation analysis"/>
      <sheetName val="Dividend analysis"/>
      <sheetName val="Liabilities analysis"/>
      <sheetName val="Interest Rate on Debt Analysis"/>
      <sheetName val="Tax rate analysis"/>
      <sheetName val="rf"/>
      <sheetName val="Cash and Equivalents"/>
      <sheetName val="LLY pro-forma"/>
      <sheetName val="WACC"/>
      <sheetName val="E(rM)"/>
    </sheetNames>
    <sheetDataSet>
      <sheetData sheetId="0">
        <row r="11">
          <cell r="A11" t="str">
            <v>Interest expense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www.treasury.gov/resource-center/data-chart-center/interest-rates/Pages/default.aspx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3618E-0B3F-48C4-B811-B597D9218349}">
  <sheetPr codeName="Sheet1"/>
  <dimension ref="A1:E19"/>
  <sheetViews>
    <sheetView tabSelected="1" zoomScale="76" zoomScaleNormal="130" workbookViewId="0">
      <selection activeCell="F20" sqref="F20"/>
    </sheetView>
  </sheetViews>
  <sheetFormatPr defaultRowHeight="14.5" x14ac:dyDescent="0.35"/>
  <cols>
    <col min="1" max="1" width="59.26953125" bestFit="1" customWidth="1"/>
    <col min="6" max="6" width="21.81640625" bestFit="1" customWidth="1"/>
  </cols>
  <sheetData>
    <row r="1" spans="1:5" ht="37.5" customHeight="1" x14ac:dyDescent="0.45">
      <c r="A1" s="90" t="s">
        <v>213</v>
      </c>
      <c r="B1" s="90"/>
      <c r="C1" s="90"/>
      <c r="D1" s="90"/>
      <c r="E1" s="90"/>
    </row>
    <row r="2" spans="1:5" x14ac:dyDescent="0.35">
      <c r="A2" s="9"/>
      <c r="B2" s="9">
        <v>2019</v>
      </c>
      <c r="C2" s="9">
        <v>2020</v>
      </c>
      <c r="D2" s="9">
        <v>2021</v>
      </c>
      <c r="E2" s="9">
        <v>2022</v>
      </c>
    </row>
    <row r="3" spans="1:5" x14ac:dyDescent="0.35">
      <c r="A3" t="s">
        <v>0</v>
      </c>
      <c r="B3" s="2">
        <v>161857</v>
      </c>
      <c r="C3" s="2">
        <v>182527</v>
      </c>
      <c r="D3" s="2">
        <v>257637</v>
      </c>
      <c r="E3" s="2">
        <v>282836</v>
      </c>
    </row>
    <row r="4" spans="1:5" x14ac:dyDescent="0.35">
      <c r="A4" s="6" t="s">
        <v>1</v>
      </c>
      <c r="B4" s="2">
        <v>71896</v>
      </c>
      <c r="C4" s="2">
        <v>84732</v>
      </c>
      <c r="D4" s="2">
        <v>110939</v>
      </c>
      <c r="E4" s="2">
        <v>126203</v>
      </c>
    </row>
    <row r="5" spans="1:5" x14ac:dyDescent="0.35">
      <c r="A5" s="7" t="s">
        <v>5</v>
      </c>
      <c r="B5" s="5">
        <f>B3-B4</f>
        <v>89961</v>
      </c>
      <c r="C5" s="5">
        <f>C3-C4</f>
        <v>97795</v>
      </c>
      <c r="D5" s="5">
        <f>D3-D4</f>
        <v>146698</v>
      </c>
      <c r="E5" s="5">
        <f>E3-E4</f>
        <v>156633</v>
      </c>
    </row>
    <row r="6" spans="1:5" x14ac:dyDescent="0.35">
      <c r="A6" t="s">
        <v>165</v>
      </c>
      <c r="B6" s="2"/>
      <c r="C6" s="2"/>
      <c r="D6" s="2"/>
      <c r="E6" s="2"/>
    </row>
    <row r="7" spans="1:5" x14ac:dyDescent="0.35">
      <c r="A7" s="3" t="s">
        <v>2</v>
      </c>
      <c r="B7" s="2">
        <v>28015</v>
      </c>
      <c r="C7" s="2">
        <v>28998</v>
      </c>
      <c r="D7" s="2">
        <v>36422</v>
      </c>
      <c r="E7" s="2">
        <v>42291</v>
      </c>
    </row>
    <row r="8" spans="1:5" x14ac:dyDescent="0.35">
      <c r="A8" s="3" t="s">
        <v>3</v>
      </c>
      <c r="B8" s="2">
        <v>26018</v>
      </c>
      <c r="C8" s="2">
        <v>27573</v>
      </c>
      <c r="D8" s="2">
        <v>31562</v>
      </c>
      <c r="E8" s="2">
        <v>39500</v>
      </c>
    </row>
    <row r="9" spans="1:5" x14ac:dyDescent="0.35">
      <c r="A9" s="3" t="s">
        <v>210</v>
      </c>
      <c r="B9" s="2">
        <f>-3188+1697</f>
        <v>-1491</v>
      </c>
      <c r="C9" s="2">
        <f>-6317</f>
        <v>-6317</v>
      </c>
      <c r="D9" s="2">
        <f>-12270</f>
        <v>-12270</v>
      </c>
      <c r="E9" s="2">
        <v>5519</v>
      </c>
    </row>
    <row r="10" spans="1:5" x14ac:dyDescent="0.35">
      <c r="A10" s="3" t="s">
        <v>6</v>
      </c>
      <c r="B10" s="2">
        <v>-2427</v>
      </c>
      <c r="C10" s="2">
        <v>-1865</v>
      </c>
      <c r="D10" s="2">
        <v>-1499</v>
      </c>
      <c r="E10" s="2">
        <v>-2174</v>
      </c>
    </row>
    <row r="11" spans="1:5" x14ac:dyDescent="0.35">
      <c r="A11" s="3" t="s">
        <v>7</v>
      </c>
      <c r="B11" s="2">
        <v>100</v>
      </c>
      <c r="C11" s="2">
        <v>135</v>
      </c>
      <c r="D11" s="2">
        <v>346</v>
      </c>
      <c r="E11" s="2">
        <v>357</v>
      </c>
    </row>
    <row r="12" spans="1:5" x14ac:dyDescent="0.35">
      <c r="A12" s="3" t="s">
        <v>4</v>
      </c>
      <c r="B12" s="2">
        <f>-103+224</f>
        <v>121</v>
      </c>
      <c r="C12" s="2">
        <f>-401+344+1246</f>
        <v>1189</v>
      </c>
      <c r="D12" s="2">
        <f>-334+240+1497</f>
        <v>1403</v>
      </c>
      <c r="E12" s="2">
        <f>337+654-1179</f>
        <v>-188</v>
      </c>
    </row>
    <row r="13" spans="1:5" x14ac:dyDescent="0.35">
      <c r="A13" s="4" t="s">
        <v>166</v>
      </c>
      <c r="B13" s="5">
        <f>SUM(B7:B12)</f>
        <v>50336</v>
      </c>
      <c r="C13" s="5">
        <f>SUM(C7:C12)</f>
        <v>49713</v>
      </c>
      <c r="D13" s="5">
        <f>SUM(D7:D12)</f>
        <v>55964</v>
      </c>
      <c r="E13" s="5">
        <f>SUM(E7:E12)</f>
        <v>85305</v>
      </c>
    </row>
    <row r="14" spans="1:5" x14ac:dyDescent="0.35">
      <c r="A14" s="4" t="s">
        <v>167</v>
      </c>
      <c r="B14" s="5">
        <f>B5-B13</f>
        <v>39625</v>
      </c>
      <c r="C14" s="5">
        <f>C5-C13</f>
        <v>48082</v>
      </c>
      <c r="D14" s="5">
        <f>D5-D13</f>
        <v>90734</v>
      </c>
      <c r="E14" s="5">
        <f>E5-E13</f>
        <v>71328</v>
      </c>
    </row>
    <row r="15" spans="1:5" x14ac:dyDescent="0.35">
      <c r="A15" t="s">
        <v>168</v>
      </c>
      <c r="B15" s="2">
        <v>5282</v>
      </c>
      <c r="C15" s="2">
        <v>7813</v>
      </c>
      <c r="D15" s="2">
        <v>14701</v>
      </c>
      <c r="E15" s="2">
        <v>11356</v>
      </c>
    </row>
    <row r="16" spans="1:5" x14ac:dyDescent="0.35">
      <c r="A16" s="4" t="s">
        <v>41</v>
      </c>
      <c r="B16" s="5">
        <f>B14-B15</f>
        <v>34343</v>
      </c>
      <c r="C16" s="5">
        <f>C14-C15</f>
        <v>40269</v>
      </c>
      <c r="D16" s="5">
        <f>D14-D15</f>
        <v>76033</v>
      </c>
      <c r="E16" s="5">
        <f>E14-E15</f>
        <v>59972</v>
      </c>
    </row>
    <row r="17" spans="1:5" x14ac:dyDescent="0.35">
      <c r="A17" t="s">
        <v>169</v>
      </c>
      <c r="B17" s="2" t="s">
        <v>211</v>
      </c>
      <c r="C17" s="2" t="s">
        <v>211</v>
      </c>
      <c r="D17" s="2" t="s">
        <v>211</v>
      </c>
      <c r="E17" s="2" t="s">
        <v>211</v>
      </c>
    </row>
    <row r="18" spans="1:5" x14ac:dyDescent="0.35">
      <c r="A18" s="4" t="s">
        <v>212</v>
      </c>
      <c r="B18" s="5">
        <f>B16</f>
        <v>34343</v>
      </c>
      <c r="C18" s="5">
        <f t="shared" ref="C18:E18" si="0">C16</f>
        <v>40269</v>
      </c>
      <c r="D18" s="5">
        <f t="shared" si="0"/>
        <v>76033</v>
      </c>
      <c r="E18" s="5">
        <f t="shared" si="0"/>
        <v>59972</v>
      </c>
    </row>
    <row r="19" spans="1:5" x14ac:dyDescent="0.35">
      <c r="A19" t="s">
        <v>170</v>
      </c>
      <c r="B19" s="8">
        <v>2.458142</v>
      </c>
      <c r="C19" s="8">
        <v>2.9305720000000002</v>
      </c>
      <c r="D19" s="8">
        <v>5.6100490000000001</v>
      </c>
      <c r="E19" s="8">
        <v>4.5574890000000003</v>
      </c>
    </row>
  </sheetData>
  <sortState xmlns:xlrd2="http://schemas.microsoft.com/office/spreadsheetml/2017/richdata2" columnSort="1" ref="B2:E19">
    <sortCondition ref="B2:E2"/>
  </sortState>
  <mergeCells count="1">
    <mergeCell ref="A1:E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FE7BC-3D7F-4C0A-B8ED-C40B72AFB45A}">
  <sheetPr codeName="Sheet2"/>
  <dimension ref="A1:M43"/>
  <sheetViews>
    <sheetView zoomScale="73" zoomScaleNormal="115" workbookViewId="0">
      <selection activeCell="H20" sqref="H20"/>
    </sheetView>
  </sheetViews>
  <sheetFormatPr defaultRowHeight="14.5" x14ac:dyDescent="0.35"/>
  <cols>
    <col min="1" max="1" width="46.453125" customWidth="1"/>
    <col min="6" max="6" width="10.54296875" bestFit="1" customWidth="1"/>
    <col min="8" max="8" width="21.6328125" bestFit="1" customWidth="1"/>
    <col min="9" max="9" width="8.453125" bestFit="1" customWidth="1"/>
    <col min="11" max="12" width="8.453125" bestFit="1" customWidth="1"/>
    <col min="13" max="13" width="29.453125" bestFit="1" customWidth="1"/>
  </cols>
  <sheetData>
    <row r="1" spans="1:13" ht="35.75" customHeight="1" x14ac:dyDescent="0.45">
      <c r="A1" s="90" t="s">
        <v>214</v>
      </c>
      <c r="B1" s="91"/>
      <c r="C1" s="91"/>
      <c r="D1" s="91"/>
      <c r="E1" s="91"/>
      <c r="H1" s="90" t="s">
        <v>215</v>
      </c>
      <c r="I1" s="90"/>
      <c r="J1" s="90"/>
      <c r="K1" s="90"/>
      <c r="L1" s="90"/>
      <c r="M1" s="90"/>
    </row>
    <row r="2" spans="1:13" s="9" customFormat="1" x14ac:dyDescent="0.35">
      <c r="B2" s="9">
        <v>2019</v>
      </c>
      <c r="C2" s="9">
        <v>2020</v>
      </c>
      <c r="D2" s="9">
        <v>2021</v>
      </c>
      <c r="E2" s="9">
        <v>2022</v>
      </c>
      <c r="I2" s="9">
        <v>2019</v>
      </c>
      <c r="J2" s="9">
        <v>2020</v>
      </c>
      <c r="K2" s="9">
        <v>2021</v>
      </c>
      <c r="L2" s="9">
        <v>2022</v>
      </c>
    </row>
    <row r="3" spans="1:13" x14ac:dyDescent="0.35">
      <c r="A3" s="4" t="s">
        <v>8</v>
      </c>
      <c r="B3" s="9"/>
      <c r="C3" s="9"/>
      <c r="D3" s="9"/>
      <c r="E3" s="9"/>
      <c r="H3" s="4" t="s">
        <v>45</v>
      </c>
    </row>
    <row r="4" spans="1:13" x14ac:dyDescent="0.35">
      <c r="A4" t="s">
        <v>110</v>
      </c>
      <c r="B4" s="9"/>
      <c r="C4" s="9"/>
      <c r="D4" s="9"/>
      <c r="E4" s="9"/>
      <c r="H4" s="3" t="s">
        <v>46</v>
      </c>
      <c r="I4" s="2">
        <f>B14+B11</f>
        <v>97665</v>
      </c>
      <c r="J4" s="2">
        <f t="shared" ref="J4:L4" si="0">C14+C11</f>
        <v>117663</v>
      </c>
      <c r="K4" s="2">
        <f t="shared" si="0"/>
        <v>140107</v>
      </c>
      <c r="L4" s="2">
        <f t="shared" si="0"/>
        <v>157541</v>
      </c>
      <c r="M4" t="str">
        <f t="shared" ref="M4:M9" ca="1" si="1">"&lt;--"&amp;_xlfn.FORMULATEXT(L4)</f>
        <v>&lt;--=E14+E11</v>
      </c>
    </row>
    <row r="5" spans="1:13" x14ac:dyDescent="0.35">
      <c r="A5" s="3" t="s">
        <v>9</v>
      </c>
      <c r="B5" s="2">
        <v>18498</v>
      </c>
      <c r="C5" s="2">
        <v>26465</v>
      </c>
      <c r="D5" s="2">
        <v>20945</v>
      </c>
      <c r="E5" s="2">
        <v>21879</v>
      </c>
      <c r="H5" s="3" t="s">
        <v>47</v>
      </c>
      <c r="I5" s="2">
        <f t="shared" ref="I5:L5" si="2">B7+B8+B9-B23-B25</f>
        <v>27068</v>
      </c>
      <c r="J5" s="2">
        <f t="shared" si="2"/>
        <v>30528</v>
      </c>
      <c r="K5" s="2">
        <f t="shared" si="2"/>
        <v>42457</v>
      </c>
      <c r="L5" s="2">
        <f t="shared" si="2"/>
        <v>45905</v>
      </c>
      <c r="M5" t="str">
        <f t="shared" ca="1" si="1"/>
        <v>&lt;--=E7+E8+E9-E23-E25</v>
      </c>
    </row>
    <row r="6" spans="1:13" x14ac:dyDescent="0.35">
      <c r="A6" s="3" t="s">
        <v>10</v>
      </c>
      <c r="B6" s="2">
        <v>101177</v>
      </c>
      <c r="C6" s="2">
        <v>110229</v>
      </c>
      <c r="D6" s="2">
        <v>118704</v>
      </c>
      <c r="E6">
        <v>91883</v>
      </c>
      <c r="H6" s="3" t="s">
        <v>48</v>
      </c>
      <c r="I6" s="2">
        <f>B15+B16</f>
        <v>22603</v>
      </c>
      <c r="J6" s="2">
        <f t="shared" ref="J6:L6" si="3">C15+C16</f>
        <v>22620</v>
      </c>
      <c r="K6" s="2">
        <f t="shared" si="3"/>
        <v>24373</v>
      </c>
      <c r="L6" s="2">
        <f t="shared" si="3"/>
        <v>31044</v>
      </c>
      <c r="M6" t="str">
        <f t="shared" ca="1" si="1"/>
        <v>&lt;--=E15+E16</v>
      </c>
    </row>
    <row r="7" spans="1:13" x14ac:dyDescent="0.35">
      <c r="A7" s="3" t="s">
        <v>20</v>
      </c>
      <c r="B7" s="2">
        <v>27492</v>
      </c>
      <c r="C7" s="2">
        <v>31384</v>
      </c>
      <c r="D7" s="2">
        <v>39304</v>
      </c>
      <c r="E7" s="2">
        <v>40258</v>
      </c>
      <c r="H7" s="4" t="s">
        <v>49</v>
      </c>
      <c r="I7" s="5">
        <f>SUM(I4:I6)</f>
        <v>147336</v>
      </c>
      <c r="J7" s="5">
        <f t="shared" ref="J7:L7" si="4">SUM(J4:J6)</f>
        <v>170811</v>
      </c>
      <c r="K7" s="5">
        <f t="shared" si="4"/>
        <v>206937</v>
      </c>
      <c r="L7" s="5">
        <f t="shared" si="4"/>
        <v>234490</v>
      </c>
      <c r="M7" s="4" t="str">
        <f t="shared" ca="1" si="1"/>
        <v>&lt;--=SUM(L4:L6)</v>
      </c>
    </row>
    <row r="8" spans="1:13" x14ac:dyDescent="0.35">
      <c r="A8" s="10" t="s">
        <v>21</v>
      </c>
      <c r="B8" s="2">
        <v>999</v>
      </c>
      <c r="C8" s="2">
        <v>728</v>
      </c>
      <c r="D8" s="2">
        <v>1170</v>
      </c>
      <c r="E8" s="2">
        <v>2670</v>
      </c>
      <c r="H8" t="s">
        <v>50</v>
      </c>
      <c r="I8" s="2">
        <f>B17</f>
        <v>3063</v>
      </c>
      <c r="J8" s="2">
        <f t="shared" ref="J8:L8" si="5">C17</f>
        <v>5037</v>
      </c>
      <c r="K8" s="2">
        <f t="shared" si="5"/>
        <v>6645</v>
      </c>
      <c r="L8" s="2">
        <f t="shared" si="5"/>
        <v>11884</v>
      </c>
      <c r="M8" t="str">
        <f t="shared" ca="1" si="1"/>
        <v>&lt;--=E17</v>
      </c>
    </row>
    <row r="9" spans="1:13" x14ac:dyDescent="0.35">
      <c r="A9" s="3" t="s">
        <v>11</v>
      </c>
      <c r="B9" s="2">
        <v>4412</v>
      </c>
      <c r="C9" s="2">
        <v>5490</v>
      </c>
      <c r="D9" s="2">
        <v>8020</v>
      </c>
      <c r="E9" s="2">
        <v>8105</v>
      </c>
      <c r="H9" s="4" t="s">
        <v>51</v>
      </c>
      <c r="I9" s="5">
        <f>SUM(I7:I8)</f>
        <v>150399</v>
      </c>
      <c r="J9" s="5">
        <f t="shared" ref="J9:L9" si="6">SUM(J7:J8)</f>
        <v>175848</v>
      </c>
      <c r="K9" s="5">
        <f t="shared" si="6"/>
        <v>213582</v>
      </c>
      <c r="L9" s="5">
        <f t="shared" si="6"/>
        <v>246374</v>
      </c>
      <c r="M9" s="4" t="str">
        <f t="shared" ca="1" si="1"/>
        <v>&lt;--=SUM(L7:L8)</v>
      </c>
    </row>
    <row r="10" spans="1:13" x14ac:dyDescent="0.35">
      <c r="A10" s="4" t="s">
        <v>12</v>
      </c>
      <c r="B10" s="5">
        <f>SUM(B5:B9)</f>
        <v>152578</v>
      </c>
      <c r="C10" s="5">
        <f>SUM(C5:C9)</f>
        <v>174296</v>
      </c>
      <c r="D10" s="5">
        <f>SUM(D5:D9)</f>
        <v>188143</v>
      </c>
      <c r="E10" s="5">
        <f>SUM(E5:E9)</f>
        <v>164795</v>
      </c>
    </row>
    <row r="11" spans="1:13" x14ac:dyDescent="0.35">
      <c r="A11" t="s">
        <v>13</v>
      </c>
      <c r="B11" s="2">
        <v>13078</v>
      </c>
      <c r="C11" s="2">
        <v>20703</v>
      </c>
      <c r="D11" s="2">
        <v>29549</v>
      </c>
      <c r="E11" s="2">
        <v>30492</v>
      </c>
      <c r="H11" s="4" t="s">
        <v>52</v>
      </c>
    </row>
    <row r="12" spans="1:13" x14ac:dyDescent="0.35">
      <c r="A12" s="6" t="s">
        <v>171</v>
      </c>
      <c r="B12" s="2">
        <v>115148</v>
      </c>
      <c r="C12" s="2">
        <v>138673</v>
      </c>
      <c r="D12" s="2">
        <v>159972</v>
      </c>
      <c r="E12" s="2">
        <v>186091</v>
      </c>
      <c r="H12" t="s">
        <v>53</v>
      </c>
      <c r="I12" s="2">
        <f t="shared" ref="I12:L12" si="7">SUM(B22,B24,B28,B29,B30,B40)</f>
        <v>66724</v>
      </c>
      <c r="J12" s="2">
        <f t="shared" si="7"/>
        <v>87455</v>
      </c>
      <c r="K12" s="2">
        <f t="shared" si="7"/>
        <v>98308</v>
      </c>
      <c r="L12" s="2">
        <f t="shared" si="7"/>
        <v>100084</v>
      </c>
      <c r="M12" s="2" t="str">
        <f ca="1">"&lt;--"&amp;_xlfn.FORMULATEXT(L12)</f>
        <v>&lt;--=SUM(E22,E24,E28,E29,E30,E40)</v>
      </c>
    </row>
    <row r="13" spans="1:13" x14ac:dyDescent="0.35">
      <c r="A13" t="s">
        <v>172</v>
      </c>
      <c r="B13" s="2">
        <v>30561</v>
      </c>
      <c r="C13" s="2">
        <v>41713</v>
      </c>
      <c r="D13" s="2">
        <v>49414</v>
      </c>
      <c r="E13" s="2">
        <v>59042</v>
      </c>
      <c r="H13" t="s">
        <v>54</v>
      </c>
      <c r="I13" s="2">
        <f>-(B5+B6)</f>
        <v>-119675</v>
      </c>
      <c r="J13" s="2">
        <f t="shared" ref="J13:L13" si="8">-(C5+C6)</f>
        <v>-136694</v>
      </c>
      <c r="K13" s="2">
        <f t="shared" si="8"/>
        <v>-139649</v>
      </c>
      <c r="L13" s="2">
        <f t="shared" si="8"/>
        <v>-113762</v>
      </c>
      <c r="M13" s="2" t="str">
        <f ca="1">"&lt;--"&amp;_xlfn.FORMULATEXT(L13)</f>
        <v>&lt;--=-(E5+E6)</v>
      </c>
    </row>
    <row r="14" spans="1:13" s="4" customFormat="1" x14ac:dyDescent="0.35">
      <c r="A14" s="4" t="s">
        <v>22</v>
      </c>
      <c r="B14" s="5">
        <f>B12-B13</f>
        <v>84587</v>
      </c>
      <c r="C14" s="5">
        <f>C12-C13</f>
        <v>96960</v>
      </c>
      <c r="D14" s="5">
        <f>D12-D13</f>
        <v>110558</v>
      </c>
      <c r="E14" s="5">
        <f>E12-E13</f>
        <v>127049</v>
      </c>
      <c r="H14" s="4" t="s">
        <v>52</v>
      </c>
      <c r="I14" s="5">
        <f t="shared" ref="I14:L14" si="9">SUM(I12:I13)</f>
        <v>-52951</v>
      </c>
      <c r="J14" s="5">
        <f t="shared" si="9"/>
        <v>-49239</v>
      </c>
      <c r="K14" s="5">
        <f t="shared" si="9"/>
        <v>-41341</v>
      </c>
      <c r="L14" s="5">
        <f t="shared" si="9"/>
        <v>-13678</v>
      </c>
      <c r="M14" s="5" t="str">
        <f ca="1">"&lt;--"&amp;_xlfn.FORMULATEXT(L14)</f>
        <v>&lt;--=SUM(L12:L13)</v>
      </c>
    </row>
    <row r="15" spans="1:13" x14ac:dyDescent="0.35">
      <c r="A15" t="s">
        <v>14</v>
      </c>
      <c r="B15" s="2">
        <v>20624</v>
      </c>
      <c r="C15" s="2">
        <v>21175</v>
      </c>
      <c r="D15" s="2">
        <v>22956</v>
      </c>
      <c r="E15" s="2">
        <v>28960</v>
      </c>
    </row>
    <row r="16" spans="1:13" x14ac:dyDescent="0.35">
      <c r="A16" t="s">
        <v>180</v>
      </c>
      <c r="B16" s="2">
        <v>1979</v>
      </c>
      <c r="C16" s="2">
        <v>1445</v>
      </c>
      <c r="D16" s="2">
        <v>1417</v>
      </c>
      <c r="E16" s="2">
        <v>2084</v>
      </c>
      <c r="H16" s="4" t="s">
        <v>55</v>
      </c>
      <c r="I16" s="5">
        <f>I9-I14</f>
        <v>203350</v>
      </c>
      <c r="J16" s="5">
        <f t="shared" ref="J16:L16" si="10">J9-J14</f>
        <v>225087</v>
      </c>
      <c r="K16" s="5">
        <f t="shared" si="10"/>
        <v>254923</v>
      </c>
      <c r="L16" s="5">
        <f t="shared" si="10"/>
        <v>260052</v>
      </c>
      <c r="M16" s="5" t="str">
        <f ca="1">"&lt;--"&amp;_xlfn.FORMULATEXT(L16)</f>
        <v>&lt;--=L9-L14</v>
      </c>
    </row>
    <row r="17" spans="1:13" x14ac:dyDescent="0.35">
      <c r="A17" t="s">
        <v>145</v>
      </c>
      <c r="B17" s="2">
        <f>721+2342</f>
        <v>3063</v>
      </c>
      <c r="C17" s="2">
        <f>1084+3953</f>
        <v>5037</v>
      </c>
      <c r="D17" s="2">
        <f>1284+5361</f>
        <v>6645</v>
      </c>
      <c r="E17" s="2">
        <f>5261+6623</f>
        <v>11884</v>
      </c>
      <c r="I17" s="2"/>
      <c r="J17" s="2"/>
      <c r="K17" s="2"/>
      <c r="L17" s="2"/>
      <c r="M17" s="2"/>
    </row>
    <row r="18" spans="1:13" x14ac:dyDescent="0.35">
      <c r="A18" s="4" t="s">
        <v>51</v>
      </c>
      <c r="B18" s="5">
        <f>SUM(B10,B11,B14:B17)</f>
        <v>275909</v>
      </c>
      <c r="C18" s="5">
        <f>SUM(C10,C11,C14:C17)</f>
        <v>319616</v>
      </c>
      <c r="D18" s="5">
        <f>SUM(D10,D11,D14:D17)</f>
        <v>359268</v>
      </c>
      <c r="E18" s="5">
        <f>SUM(E10,E11,E14:E17)</f>
        <v>365264</v>
      </c>
    </row>
    <row r="19" spans="1:13" x14ac:dyDescent="0.35">
      <c r="A19" s="4"/>
      <c r="B19" s="5"/>
      <c r="C19" s="5"/>
      <c r="D19" s="5"/>
      <c r="E19" s="5"/>
    </row>
    <row r="20" spans="1:13" x14ac:dyDescent="0.35">
      <c r="A20" s="4" t="s">
        <v>173</v>
      </c>
      <c r="B20" s="2"/>
      <c r="C20" s="2"/>
      <c r="D20" s="2"/>
      <c r="E20" s="2"/>
    </row>
    <row r="21" spans="1:13" x14ac:dyDescent="0.35">
      <c r="A21" s="1" t="s">
        <v>114</v>
      </c>
      <c r="B21" s="2"/>
      <c r="C21" s="2"/>
      <c r="D21" s="2"/>
      <c r="E21" s="2"/>
    </row>
    <row r="22" spans="1:13" ht="18" customHeight="1" x14ac:dyDescent="0.35">
      <c r="A22" s="10" t="s">
        <v>23</v>
      </c>
      <c r="B22" s="2">
        <f>0+1314</f>
        <v>1314</v>
      </c>
      <c r="C22" s="1">
        <f>999+1795</f>
        <v>2794</v>
      </c>
      <c r="D22" s="2">
        <f>0+2302</f>
        <v>2302</v>
      </c>
      <c r="E22" s="2">
        <f>0+2775</f>
        <v>2775</v>
      </c>
    </row>
    <row r="23" spans="1:13" x14ac:dyDescent="0.35">
      <c r="A23" s="10" t="s">
        <v>24</v>
      </c>
      <c r="B23" s="2">
        <v>5561</v>
      </c>
      <c r="C23" s="2">
        <v>5589</v>
      </c>
      <c r="D23" s="2">
        <v>6037</v>
      </c>
      <c r="E23" s="11">
        <v>5128</v>
      </c>
    </row>
    <row r="24" spans="1:13" x14ac:dyDescent="0.35">
      <c r="A24" s="10" t="s">
        <v>25</v>
      </c>
      <c r="B24" s="2">
        <f>16187+19977</f>
        <v>36164</v>
      </c>
      <c r="C24" s="2">
        <f>20445+23978</f>
        <v>44423</v>
      </c>
      <c r="D24" s="2">
        <f>27912+24715</f>
        <v>52627</v>
      </c>
      <c r="E24" s="2">
        <f>33375+24114</f>
        <v>57489</v>
      </c>
    </row>
    <row r="25" spans="1:13" x14ac:dyDescent="0.35">
      <c r="A25" s="10" t="s">
        <v>26</v>
      </c>
      <c r="B25" s="2">
        <v>274</v>
      </c>
      <c r="C25" s="2">
        <v>1485</v>
      </c>
      <c r="D25">
        <v>0</v>
      </c>
      <c r="E25" s="2">
        <v>0</v>
      </c>
    </row>
    <row r="26" spans="1:13" x14ac:dyDescent="0.35">
      <c r="A26" s="10" t="s">
        <v>27</v>
      </c>
      <c r="B26" s="77">
        <v>1908</v>
      </c>
      <c r="C26" s="77">
        <v>2543</v>
      </c>
      <c r="D26" s="77">
        <v>3288</v>
      </c>
      <c r="E26" s="77">
        <v>3908</v>
      </c>
    </row>
    <row r="27" spans="1:13" x14ac:dyDescent="0.35">
      <c r="A27" s="4" t="s">
        <v>15</v>
      </c>
      <c r="B27" s="5">
        <f>SUM(B22:B26)</f>
        <v>45221</v>
      </c>
      <c r="C27" s="5">
        <f>SUM(C22:C26)</f>
        <v>56834</v>
      </c>
      <c r="D27" s="5">
        <f>SUM(D22:D26)</f>
        <v>64254</v>
      </c>
      <c r="E27" s="5">
        <f>SUM(E22:E26)</f>
        <v>69300</v>
      </c>
    </row>
    <row r="28" spans="1:13" x14ac:dyDescent="0.35">
      <c r="A28" t="s">
        <v>174</v>
      </c>
      <c r="B28" s="2">
        <f>3958+10810</f>
        <v>14768</v>
      </c>
      <c r="C28" s="2">
        <f>12832+12246</f>
        <v>25078</v>
      </c>
      <c r="D28" s="2">
        <f>12844+13362</f>
        <v>26206</v>
      </c>
      <c r="E28" s="2">
        <f>12857+14345</f>
        <v>27202</v>
      </c>
    </row>
    <row r="29" spans="1:13" x14ac:dyDescent="0.35">
      <c r="A29" t="s">
        <v>175</v>
      </c>
      <c r="B29" s="2">
        <v>1701</v>
      </c>
      <c r="C29" s="2">
        <v>3561</v>
      </c>
      <c r="D29" s="2">
        <v>5257</v>
      </c>
      <c r="E29" s="2">
        <v>514</v>
      </c>
    </row>
    <row r="30" spans="1:13" x14ac:dyDescent="0.35">
      <c r="A30" t="s">
        <v>176</v>
      </c>
      <c r="B30" s="2">
        <f>12419+358</f>
        <v>12777</v>
      </c>
      <c r="C30" s="2">
        <f>11118+481</f>
        <v>11599</v>
      </c>
      <c r="D30" s="2">
        <f>11381+535</f>
        <v>11916</v>
      </c>
      <c r="E30" s="2">
        <f>11505+599</f>
        <v>12104</v>
      </c>
    </row>
    <row r="31" spans="1:13" x14ac:dyDescent="0.35">
      <c r="A31" s="4" t="s">
        <v>177</v>
      </c>
      <c r="B31" s="5">
        <f>SUM(B27:B30)</f>
        <v>74467</v>
      </c>
      <c r="C31" s="5">
        <f>SUM(C27:C30)</f>
        <v>97072</v>
      </c>
      <c r="D31" s="5">
        <f>SUM(D27:D30)</f>
        <v>107633</v>
      </c>
      <c r="E31" s="5">
        <f>SUM(E27:E30)</f>
        <v>109120</v>
      </c>
    </row>
    <row r="32" spans="1:13" x14ac:dyDescent="0.35">
      <c r="A32" s="4"/>
      <c r="B32" s="2"/>
      <c r="C32" s="2"/>
      <c r="D32" s="2"/>
      <c r="E32" s="2"/>
    </row>
    <row r="33" spans="1:6" x14ac:dyDescent="0.35">
      <c r="A33" s="4" t="s">
        <v>216</v>
      </c>
      <c r="B33" s="2"/>
      <c r="C33" s="2"/>
      <c r="D33" s="2"/>
    </row>
    <row r="34" spans="1:6" x14ac:dyDescent="0.35">
      <c r="A34" t="s">
        <v>28</v>
      </c>
      <c r="B34" s="2">
        <v>50552</v>
      </c>
      <c r="C34" s="2">
        <v>58510</v>
      </c>
      <c r="D34" s="2">
        <v>61774</v>
      </c>
      <c r="E34" s="2">
        <v>68184</v>
      </c>
    </row>
    <row r="35" spans="1:6" x14ac:dyDescent="0.35">
      <c r="A35" t="s">
        <v>16</v>
      </c>
      <c r="B35" s="2">
        <v>0</v>
      </c>
      <c r="C35" s="2">
        <v>0</v>
      </c>
      <c r="D35" s="2">
        <v>0</v>
      </c>
      <c r="E35" s="2">
        <v>0</v>
      </c>
    </row>
    <row r="36" spans="1:6" x14ac:dyDescent="0.35">
      <c r="A36" t="s">
        <v>17</v>
      </c>
      <c r="B36" s="2">
        <v>152122</v>
      </c>
      <c r="C36" s="2">
        <v>163401</v>
      </c>
      <c r="D36" s="2">
        <v>191484</v>
      </c>
      <c r="E36" s="2">
        <v>195563</v>
      </c>
    </row>
    <row r="37" spans="1:6" x14ac:dyDescent="0.35">
      <c r="A37" t="s">
        <v>18</v>
      </c>
      <c r="B37" s="2">
        <v>-1232</v>
      </c>
      <c r="C37" s="2">
        <v>633</v>
      </c>
      <c r="D37" s="2">
        <v>-1623</v>
      </c>
      <c r="E37" s="2">
        <v>-7603</v>
      </c>
    </row>
    <row r="38" spans="1:6" x14ac:dyDescent="0.35">
      <c r="A38" t="s">
        <v>29</v>
      </c>
      <c r="B38" s="2">
        <v>0</v>
      </c>
      <c r="C38" s="2">
        <v>0</v>
      </c>
      <c r="D38" s="2">
        <v>0</v>
      </c>
      <c r="E38" s="2">
        <v>0</v>
      </c>
      <c r="F38" s="2"/>
    </row>
    <row r="39" spans="1:6" x14ac:dyDescent="0.35">
      <c r="A39" s="4" t="s">
        <v>217</v>
      </c>
      <c r="B39" s="5">
        <f>SUM(B34:B38)</f>
        <v>201442</v>
      </c>
      <c r="C39" s="5">
        <f>SUM(C34:C38)</f>
        <v>222544</v>
      </c>
      <c r="D39" s="5">
        <f>SUM(D34:D38)</f>
        <v>251635</v>
      </c>
      <c r="E39" s="5">
        <f>SUM(E34:E38)</f>
        <v>256144</v>
      </c>
    </row>
    <row r="40" spans="1:6" x14ac:dyDescent="0.35">
      <c r="A40" t="s">
        <v>178</v>
      </c>
      <c r="B40">
        <v>0</v>
      </c>
      <c r="C40">
        <v>0</v>
      </c>
      <c r="D40">
        <v>0</v>
      </c>
      <c r="E40">
        <v>0</v>
      </c>
    </row>
    <row r="41" spans="1:6" x14ac:dyDescent="0.35">
      <c r="A41" s="4" t="s">
        <v>19</v>
      </c>
      <c r="B41" s="5">
        <f>SUM(B39:B40)</f>
        <v>201442</v>
      </c>
      <c r="C41" s="5">
        <f>SUM(C39:C40)</f>
        <v>222544</v>
      </c>
      <c r="D41" s="5">
        <f>SUM(D39:D40)</f>
        <v>251635</v>
      </c>
      <c r="E41" s="5">
        <f>SUM(E39:E40)</f>
        <v>256144</v>
      </c>
    </row>
    <row r="42" spans="1:6" s="4" customFormat="1" x14ac:dyDescent="0.35">
      <c r="A42" s="4" t="s">
        <v>117</v>
      </c>
      <c r="B42" s="5">
        <f>B41+B31</f>
        <v>275909</v>
      </c>
      <c r="C42" s="5">
        <f>C41+C31</f>
        <v>319616</v>
      </c>
      <c r="D42" s="5">
        <f>D41+D31</f>
        <v>359268</v>
      </c>
      <c r="E42" s="5">
        <f>E41+E31</f>
        <v>365264</v>
      </c>
    </row>
    <row r="43" spans="1:6" x14ac:dyDescent="0.35">
      <c r="A43" s="4" t="s">
        <v>179</v>
      </c>
      <c r="B43" t="b">
        <f>B42=B18</f>
        <v>1</v>
      </c>
      <c r="C43" t="b">
        <f>C42=C18</f>
        <v>1</v>
      </c>
      <c r="D43" t="b">
        <f>D42=D18</f>
        <v>1</v>
      </c>
      <c r="E43" t="b">
        <f>E42=E18</f>
        <v>1</v>
      </c>
      <c r="F43" t="str">
        <f ca="1">"&lt;--"&amp;_xlfn.FORMULATEXT(E43)</f>
        <v>&lt;--=E42=E18</v>
      </c>
    </row>
  </sheetData>
  <sortState xmlns:xlrd2="http://schemas.microsoft.com/office/spreadsheetml/2017/richdata2" columnSort="1" ref="B2:E43">
    <sortCondition ref="B2:E2"/>
  </sortState>
  <mergeCells count="2">
    <mergeCell ref="A1:E1"/>
    <mergeCell ref="H1:M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E7F72-BDED-4484-A185-8B398A27B18C}">
  <sheetPr codeName="Sheet3"/>
  <dimension ref="A1:E36"/>
  <sheetViews>
    <sheetView zoomScale="80" workbookViewId="0">
      <selection activeCell="A30" sqref="A30"/>
    </sheetView>
  </sheetViews>
  <sheetFormatPr defaultColWidth="8.7265625" defaultRowHeight="14.5" x14ac:dyDescent="0.35"/>
  <cols>
    <col min="1" max="1" width="46.54296875" customWidth="1"/>
    <col min="2" max="2" width="9.54296875" bestFit="1" customWidth="1"/>
    <col min="3" max="4" width="8.90625" bestFit="1" customWidth="1"/>
    <col min="5" max="5" width="9.453125" bestFit="1" customWidth="1"/>
  </cols>
  <sheetData>
    <row r="1" spans="1:5" ht="40.5" customHeight="1" x14ac:dyDescent="0.45">
      <c r="A1" s="90" t="s">
        <v>218</v>
      </c>
      <c r="B1" s="90"/>
      <c r="C1" s="90"/>
      <c r="D1" s="90"/>
      <c r="E1" s="90"/>
    </row>
    <row r="2" spans="1:5" x14ac:dyDescent="0.35">
      <c r="A2" s="9"/>
      <c r="B2" s="9">
        <v>2019</v>
      </c>
      <c r="C2" s="9">
        <v>2020</v>
      </c>
      <c r="D2" s="9">
        <v>2021</v>
      </c>
      <c r="E2" s="9">
        <v>2022</v>
      </c>
    </row>
    <row r="3" spans="1:5" x14ac:dyDescent="0.35">
      <c r="A3" s="4" t="s">
        <v>181</v>
      </c>
    </row>
    <row r="4" spans="1:5" x14ac:dyDescent="0.35">
      <c r="A4" t="s">
        <v>41</v>
      </c>
      <c r="B4" s="2">
        <v>34343</v>
      </c>
      <c r="C4" s="2">
        <v>40269</v>
      </c>
      <c r="D4" s="2">
        <v>76033</v>
      </c>
      <c r="E4" s="2">
        <v>59972</v>
      </c>
    </row>
    <row r="5" spans="1:5" x14ac:dyDescent="0.35">
      <c r="A5" t="s">
        <v>42</v>
      </c>
      <c r="B5" s="2"/>
      <c r="C5" s="2"/>
      <c r="D5" s="2"/>
      <c r="E5" s="2"/>
    </row>
    <row r="6" spans="1:5" x14ac:dyDescent="0.35">
      <c r="A6" s="3" t="s">
        <v>43</v>
      </c>
      <c r="B6" s="2">
        <v>11651</v>
      </c>
      <c r="C6" s="2">
        <v>13679</v>
      </c>
      <c r="D6" s="2">
        <v>12430</v>
      </c>
      <c r="E6" s="2">
        <v>15929</v>
      </c>
    </row>
    <row r="7" spans="1:5" x14ac:dyDescent="0.35">
      <c r="A7" s="3" t="s">
        <v>30</v>
      </c>
      <c r="B7" s="2">
        <f>-2798+130+10794-419</f>
        <v>7707</v>
      </c>
      <c r="C7" s="2">
        <f>-6317+18+12991+2657</f>
        <v>9349</v>
      </c>
      <c r="D7" s="2">
        <f>-12270+11+15376+1595</f>
        <v>4712</v>
      </c>
      <c r="E7" s="2">
        <f>5519-1+19362-7051</f>
        <v>17829</v>
      </c>
    </row>
    <row r="8" spans="1:5" x14ac:dyDescent="0.35">
      <c r="A8" s="3" t="s">
        <v>44</v>
      </c>
      <c r="B8" s="2"/>
      <c r="C8" s="2"/>
      <c r="D8" s="2"/>
      <c r="E8" s="2"/>
    </row>
    <row r="9" spans="1:5" x14ac:dyDescent="0.35">
      <c r="A9" s="12" t="s">
        <v>20</v>
      </c>
      <c r="B9" s="1">
        <v>-4340</v>
      </c>
      <c r="C9">
        <v>-6524</v>
      </c>
      <c r="D9">
        <v>-9095</v>
      </c>
      <c r="E9" s="11">
        <v>-2317</v>
      </c>
    </row>
    <row r="10" spans="1:5" x14ac:dyDescent="0.35">
      <c r="A10" s="12" t="s">
        <v>21</v>
      </c>
      <c r="B10">
        <v>0</v>
      </c>
      <c r="C10">
        <v>0</v>
      </c>
      <c r="D10">
        <v>0</v>
      </c>
      <c r="E10" s="2">
        <v>0</v>
      </c>
    </row>
    <row r="11" spans="1:5" x14ac:dyDescent="0.35">
      <c r="A11" s="12" t="s">
        <v>24</v>
      </c>
      <c r="B11">
        <v>428</v>
      </c>
      <c r="C11" s="2">
        <v>694</v>
      </c>
      <c r="D11">
        <v>283</v>
      </c>
      <c r="E11" s="2">
        <v>707</v>
      </c>
    </row>
    <row r="12" spans="1:5" x14ac:dyDescent="0.35">
      <c r="A12" s="12" t="s">
        <v>220</v>
      </c>
      <c r="B12">
        <v>37</v>
      </c>
      <c r="C12" s="2">
        <v>635</v>
      </c>
      <c r="D12" s="2">
        <v>774</v>
      </c>
      <c r="E12">
        <v>367</v>
      </c>
    </row>
    <row r="13" spans="1:5" x14ac:dyDescent="0.35">
      <c r="A13" s="12" t="s">
        <v>26</v>
      </c>
      <c r="B13" s="77">
        <v>-3128</v>
      </c>
      <c r="C13" s="77">
        <v>1209</v>
      </c>
      <c r="D13" s="77">
        <v>-625</v>
      </c>
      <c r="E13" s="77">
        <v>584</v>
      </c>
    </row>
    <row r="14" spans="1:5" x14ac:dyDescent="0.35">
      <c r="A14" s="12" t="s">
        <v>219</v>
      </c>
      <c r="B14" s="77">
        <v>7822</v>
      </c>
      <c r="C14" s="77">
        <v>5813</v>
      </c>
      <c r="D14" s="77">
        <v>7140</v>
      </c>
      <c r="E14" s="77">
        <v>-1576</v>
      </c>
    </row>
    <row r="15" spans="1:5" x14ac:dyDescent="0.35">
      <c r="A15" s="12" t="s">
        <v>30</v>
      </c>
      <c r="B15" s="2">
        <v>0</v>
      </c>
      <c r="C15" s="2">
        <v>0</v>
      </c>
      <c r="D15" s="2">
        <v>0</v>
      </c>
      <c r="E15" s="2">
        <v>0</v>
      </c>
    </row>
    <row r="16" spans="1:5" x14ac:dyDescent="0.35">
      <c r="A16" s="4" t="s">
        <v>182</v>
      </c>
      <c r="B16" s="5">
        <f>SUM(B4:B15)</f>
        <v>54520</v>
      </c>
      <c r="C16" s="5">
        <f>SUM(C4:C15)</f>
        <v>65124</v>
      </c>
      <c r="D16" s="5">
        <f>SUM(D4:D15)</f>
        <v>91652</v>
      </c>
      <c r="E16" s="5">
        <f>SUM(E4:E15)</f>
        <v>91495</v>
      </c>
    </row>
    <row r="17" spans="1:5" x14ac:dyDescent="0.35">
      <c r="B17" s="2"/>
      <c r="C17" s="2"/>
      <c r="D17" s="2"/>
    </row>
    <row r="18" spans="1:5" x14ac:dyDescent="0.35">
      <c r="A18" s="4" t="s">
        <v>183</v>
      </c>
      <c r="B18" s="2"/>
      <c r="C18" s="2"/>
      <c r="D18" s="2"/>
    </row>
    <row r="19" spans="1:5" x14ac:dyDescent="0.35">
      <c r="A19" t="s">
        <v>31</v>
      </c>
      <c r="B19" s="2">
        <v>-23548</v>
      </c>
      <c r="C19" s="2">
        <v>-22281</v>
      </c>
      <c r="D19" s="2">
        <v>-24640</v>
      </c>
      <c r="E19" s="2">
        <v>-31485</v>
      </c>
    </row>
    <row r="20" spans="1:5" x14ac:dyDescent="0.35">
      <c r="A20" t="s">
        <v>32</v>
      </c>
      <c r="B20" s="2">
        <v>-4017</v>
      </c>
      <c r="C20" s="2">
        <v>-9822</v>
      </c>
      <c r="D20" s="2">
        <v>-8806</v>
      </c>
      <c r="E20" s="2">
        <v>16567</v>
      </c>
    </row>
    <row r="21" spans="1:5" x14ac:dyDescent="0.35">
      <c r="A21" t="s">
        <v>33</v>
      </c>
      <c r="B21" s="2">
        <v>0</v>
      </c>
      <c r="C21" s="2">
        <v>0</v>
      </c>
      <c r="D21" s="2">
        <v>0</v>
      </c>
      <c r="E21" s="2">
        <v>0</v>
      </c>
    </row>
    <row r="22" spans="1:5" x14ac:dyDescent="0.35">
      <c r="A22" t="s">
        <v>34</v>
      </c>
      <c r="B22" s="2">
        <v>-2515</v>
      </c>
      <c r="C22">
        <v>-738</v>
      </c>
      <c r="D22">
        <v>-2618</v>
      </c>
      <c r="E22">
        <v>-6969</v>
      </c>
    </row>
    <row r="23" spans="1:5" x14ac:dyDescent="0.35">
      <c r="A23" t="s">
        <v>30</v>
      </c>
      <c r="B23">
        <v>589</v>
      </c>
      <c r="C23" s="2">
        <v>68</v>
      </c>
      <c r="D23" s="2">
        <v>541</v>
      </c>
      <c r="E23">
        <v>1589</v>
      </c>
    </row>
    <row r="24" spans="1:5" x14ac:dyDescent="0.35">
      <c r="A24" s="4" t="s">
        <v>184</v>
      </c>
      <c r="B24" s="5">
        <f>SUM(B19:B23)</f>
        <v>-29491</v>
      </c>
      <c r="C24" s="5">
        <f>SUM(C19:C23)</f>
        <v>-32773</v>
      </c>
      <c r="D24" s="5">
        <f>SUM(D19:D23)</f>
        <v>-35523</v>
      </c>
      <c r="E24" s="5">
        <f>SUM(E19:E23)</f>
        <v>-20298</v>
      </c>
    </row>
    <row r="25" spans="1:5" x14ac:dyDescent="0.35">
      <c r="C25" s="2"/>
      <c r="D25" s="2"/>
    </row>
    <row r="26" spans="1:5" x14ac:dyDescent="0.35">
      <c r="A26" s="4" t="s">
        <v>35</v>
      </c>
      <c r="C26" s="2"/>
      <c r="D26" s="2"/>
    </row>
    <row r="27" spans="1:5" x14ac:dyDescent="0.35">
      <c r="A27" t="s">
        <v>36</v>
      </c>
      <c r="B27" s="11">
        <v>317</v>
      </c>
      <c r="C27" s="2">
        <v>11761</v>
      </c>
      <c r="D27" s="2">
        <v>20199</v>
      </c>
      <c r="E27" s="2">
        <v>52872</v>
      </c>
    </row>
    <row r="28" spans="1:5" x14ac:dyDescent="0.35">
      <c r="A28" t="s">
        <v>37</v>
      </c>
      <c r="B28">
        <v>-585</v>
      </c>
      <c r="C28">
        <v>-2100</v>
      </c>
      <c r="D28">
        <v>-21435</v>
      </c>
      <c r="E28">
        <v>-54068</v>
      </c>
    </row>
    <row r="29" spans="1:5" x14ac:dyDescent="0.35">
      <c r="A29" t="s">
        <v>38</v>
      </c>
      <c r="B29" s="2">
        <v>0</v>
      </c>
      <c r="C29" s="2">
        <v>0</v>
      </c>
      <c r="D29" s="2">
        <v>0</v>
      </c>
      <c r="E29" s="2">
        <v>0</v>
      </c>
    </row>
    <row r="30" spans="1:5" x14ac:dyDescent="0.35">
      <c r="A30" t="s">
        <v>221</v>
      </c>
      <c r="B30" s="2">
        <v>-18396</v>
      </c>
      <c r="C30" s="2">
        <v>-31149</v>
      </c>
      <c r="D30" s="2">
        <v>-50274</v>
      </c>
      <c r="E30" s="2">
        <v>-59296</v>
      </c>
    </row>
    <row r="31" spans="1:5" x14ac:dyDescent="0.35">
      <c r="A31" t="s">
        <v>39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 t="s">
        <v>40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 t="s">
        <v>30</v>
      </c>
      <c r="B33">
        <v>-4545</v>
      </c>
      <c r="C33" s="2">
        <v>-2920</v>
      </c>
      <c r="D33" s="2">
        <v>-9852</v>
      </c>
      <c r="E33">
        <v>-9265</v>
      </c>
    </row>
    <row r="34" spans="1:5" x14ac:dyDescent="0.35">
      <c r="A34" s="4" t="s">
        <v>185</v>
      </c>
      <c r="B34" s="5">
        <f>SUM(B27:B33)</f>
        <v>-23209</v>
      </c>
      <c r="C34" s="5">
        <f>SUM(C27:C33)</f>
        <v>-24408</v>
      </c>
      <c r="D34" s="5">
        <f>SUM(D27:D33)</f>
        <v>-61362</v>
      </c>
      <c r="E34" s="5">
        <f>SUM(E27:E33)</f>
        <v>-69757</v>
      </c>
    </row>
    <row r="35" spans="1:5" x14ac:dyDescent="0.35">
      <c r="A35" t="s">
        <v>186</v>
      </c>
      <c r="B35">
        <v>-23</v>
      </c>
      <c r="C35">
        <v>24</v>
      </c>
      <c r="D35">
        <v>-287</v>
      </c>
      <c r="E35">
        <v>-506</v>
      </c>
    </row>
    <row r="36" spans="1:5" x14ac:dyDescent="0.35">
      <c r="A36" s="4" t="s">
        <v>187</v>
      </c>
      <c r="B36" s="5">
        <f>SUM(B16,B24,B34,B35)</f>
        <v>1797</v>
      </c>
      <c r="C36" s="5">
        <f>SUM(C16,C24,C34,C35)</f>
        <v>7967</v>
      </c>
      <c r="D36" s="5">
        <f>SUM(D16,D24,D34,D35)</f>
        <v>-5520</v>
      </c>
      <c r="E36" s="5">
        <f>SUM(E16,E24,E34,E35)</f>
        <v>934</v>
      </c>
    </row>
  </sheetData>
  <sortState xmlns:xlrd2="http://schemas.microsoft.com/office/spreadsheetml/2017/richdata2" columnSort="1" ref="B2:E36">
    <sortCondition ref="B2:E2"/>
  </sortState>
  <mergeCells count="1">
    <mergeCell ref="A1:E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C497F-AB2E-4997-9C3C-8226754C2FBF}">
  <sheetPr codeName="Sheet4"/>
  <dimension ref="A1:J20"/>
  <sheetViews>
    <sheetView topLeftCell="A7" workbookViewId="0">
      <selection activeCell="H23" sqref="H23"/>
    </sheetView>
  </sheetViews>
  <sheetFormatPr defaultRowHeight="14.5" x14ac:dyDescent="0.35"/>
  <cols>
    <col min="1" max="1" width="10.54296875" customWidth="1"/>
    <col min="2" max="2" width="12.453125" bestFit="1" customWidth="1"/>
    <col min="3" max="3" width="18.08984375" bestFit="1" customWidth="1"/>
    <col min="4" max="4" width="12.08984375" bestFit="1" customWidth="1"/>
  </cols>
  <sheetData>
    <row r="1" spans="1:10" ht="18.5" x14ac:dyDescent="0.45">
      <c r="A1" s="91" t="s">
        <v>222</v>
      </c>
      <c r="B1" s="91"/>
      <c r="C1" s="91"/>
      <c r="D1" s="91"/>
      <c r="E1" s="91"/>
      <c r="F1" s="91"/>
      <c r="G1" s="91"/>
      <c r="H1" s="91"/>
      <c r="I1" s="91"/>
      <c r="J1" s="91"/>
    </row>
    <row r="2" spans="1:10" x14ac:dyDescent="0.35">
      <c r="A2" s="4" t="s">
        <v>58</v>
      </c>
      <c r="B2" s="4" t="s">
        <v>56</v>
      </c>
      <c r="C2" s="4" t="s">
        <v>57</v>
      </c>
    </row>
    <row r="3" spans="1:10" x14ac:dyDescent="0.35">
      <c r="A3">
        <v>2022</v>
      </c>
      <c r="B3" s="13">
        <v>282836000000</v>
      </c>
      <c r="C3" s="14">
        <f>LN(B3/B4)</f>
        <v>9.331560690852661E-2</v>
      </c>
      <c r="D3" t="str">
        <f ca="1">"&lt;--"&amp;_xlfn.FORMULATEXT(C3)</f>
        <v>&lt;--=LN(B3/B4)</v>
      </c>
    </row>
    <row r="4" spans="1:10" x14ac:dyDescent="0.35">
      <c r="A4">
        <v>2021</v>
      </c>
      <c r="B4" s="13">
        <v>257637000000</v>
      </c>
      <c r="C4" s="14">
        <f t="shared" ref="C4:C11" si="0">LN(B4/B5)</f>
        <v>0.34465351017104895</v>
      </c>
      <c r="D4" t="str">
        <f ca="1">"&lt;--"&amp;_xlfn.FORMULATEXT(C4)</f>
        <v>&lt;--=LN(B4/B5)</v>
      </c>
    </row>
    <row r="5" spans="1:10" x14ac:dyDescent="0.35">
      <c r="A5">
        <v>2020</v>
      </c>
      <c r="B5" s="13">
        <v>182527000000</v>
      </c>
      <c r="C5" s="14">
        <f t="shared" si="0"/>
        <v>0.12018487792544265</v>
      </c>
    </row>
    <row r="6" spans="1:10" x14ac:dyDescent="0.35">
      <c r="A6">
        <v>2019</v>
      </c>
      <c r="B6" s="13">
        <v>161857000000</v>
      </c>
      <c r="C6" s="14">
        <f t="shared" si="0"/>
        <v>0.16805434492660015</v>
      </c>
    </row>
    <row r="7" spans="1:10" x14ac:dyDescent="0.35">
      <c r="A7">
        <v>2018</v>
      </c>
      <c r="B7" s="13">
        <v>136819000000</v>
      </c>
      <c r="C7" s="14">
        <f t="shared" si="0"/>
        <v>0.2104358433889969</v>
      </c>
    </row>
    <row r="8" spans="1:10" x14ac:dyDescent="0.35">
      <c r="A8">
        <v>2017</v>
      </c>
      <c r="B8" s="13">
        <v>110855000000</v>
      </c>
      <c r="C8" s="14">
        <f t="shared" si="0"/>
        <v>0.20539570622458758</v>
      </c>
    </row>
    <row r="9" spans="1:10" x14ac:dyDescent="0.35">
      <c r="A9">
        <v>2016</v>
      </c>
      <c r="B9" s="13">
        <v>90272000000</v>
      </c>
      <c r="C9" s="14">
        <f t="shared" si="0"/>
        <v>0.1854858987065493</v>
      </c>
    </row>
    <row r="10" spans="1:10" x14ac:dyDescent="0.35">
      <c r="A10">
        <v>2015</v>
      </c>
      <c r="B10" s="13">
        <v>74989000000</v>
      </c>
      <c r="C10" s="14">
        <f t="shared" si="0"/>
        <v>0.12767154268624245</v>
      </c>
    </row>
    <row r="11" spans="1:10" x14ac:dyDescent="0.35">
      <c r="A11">
        <v>2014</v>
      </c>
      <c r="B11" s="13">
        <v>66001000000</v>
      </c>
      <c r="C11" s="14">
        <f t="shared" si="0"/>
        <v>0.1729445889178319</v>
      </c>
    </row>
    <row r="12" spans="1:10" x14ac:dyDescent="0.35">
      <c r="A12">
        <v>2013</v>
      </c>
      <c r="B12" s="13">
        <v>55519000000</v>
      </c>
      <c r="C12" s="14"/>
    </row>
    <row r="14" spans="1:10" x14ac:dyDescent="0.35">
      <c r="A14" s="15" t="s">
        <v>59</v>
      </c>
      <c r="B14" s="16">
        <f>(B3/B12)^(1/9)-1</f>
        <v>0.19830092515437237</v>
      </c>
      <c r="C14" t="str">
        <f ca="1">"&lt;--"&amp;_xlfn.FORMULATEXT(B14)</f>
        <v>&lt;--=(B3/B12)^(1/9)-1</v>
      </c>
    </row>
    <row r="16" spans="1:10" x14ac:dyDescent="0.35">
      <c r="A16" s="92" t="s">
        <v>60</v>
      </c>
      <c r="B16" s="92"/>
      <c r="C16" s="92"/>
    </row>
    <row r="17" spans="1:3" x14ac:dyDescent="0.35">
      <c r="A17" t="s">
        <v>223</v>
      </c>
      <c r="B17" s="14">
        <f>(B3/B12)^(1/9)-1</f>
        <v>0.19830092515437237</v>
      </c>
      <c r="C17" t="str">
        <f ca="1">"&lt;--"&amp;_xlfn.FORMULATEXT(B17)</f>
        <v>&lt;--=(B3/B12)^(1/9)-1</v>
      </c>
    </row>
    <row r="18" spans="1:3" x14ac:dyDescent="0.35">
      <c r="A18" t="s">
        <v>224</v>
      </c>
      <c r="B18" s="14">
        <f>(B3/B10)^(1/7)-1</f>
        <v>0.20882225324872783</v>
      </c>
      <c r="C18" t="str">
        <f ca="1">"&lt;--"&amp;_xlfn.FORMULATEXT(B18)</f>
        <v>&lt;--=(B3/B10)^(1/7)-1</v>
      </c>
    </row>
    <row r="19" spans="1:3" x14ac:dyDescent="0.35">
      <c r="A19" t="s">
        <v>225</v>
      </c>
      <c r="B19" s="14">
        <f>(B3/B8)^(1/5)-1</f>
        <v>0.20602380469604209</v>
      </c>
      <c r="C19" t="str">
        <f ca="1">"&lt;--"&amp;_xlfn.FORMULATEXT(B19)</f>
        <v>&lt;--=(B3/B8)^(1/5)-1</v>
      </c>
    </row>
    <row r="20" spans="1:3" x14ac:dyDescent="0.35">
      <c r="A20" t="s">
        <v>226</v>
      </c>
      <c r="B20" s="14">
        <f>(B3/B6)^(1/3)-1</f>
        <v>0.20448408696845743</v>
      </c>
      <c r="C20" t="str">
        <f ca="1">"&lt;--"&amp;_xlfn.FORMULATEXT(B20)</f>
        <v>&lt;--=(B3/B6)^(1/3)-1</v>
      </c>
    </row>
  </sheetData>
  <mergeCells count="2">
    <mergeCell ref="A16:C16"/>
    <mergeCell ref="A1:J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71AC4-34F7-465E-8E65-92DBC4045A57}">
  <sheetPr codeName="Sheet5"/>
  <dimension ref="A1:F13"/>
  <sheetViews>
    <sheetView workbookViewId="0">
      <selection activeCell="H10" sqref="H10"/>
    </sheetView>
  </sheetViews>
  <sheetFormatPr defaultRowHeight="14.5" x14ac:dyDescent="0.35"/>
  <cols>
    <col min="1" max="1" width="32.453125" bestFit="1" customWidth="1"/>
    <col min="2" max="5" width="8.08984375" customWidth="1"/>
    <col min="6" max="6" width="29.26953125" bestFit="1" customWidth="1"/>
  </cols>
  <sheetData>
    <row r="1" spans="1:6" ht="18.5" x14ac:dyDescent="0.45">
      <c r="A1" s="91" t="s">
        <v>227</v>
      </c>
      <c r="B1" s="91"/>
      <c r="C1" s="91"/>
      <c r="D1" s="91"/>
      <c r="E1" s="91"/>
      <c r="F1" s="91"/>
    </row>
    <row r="2" spans="1:6" x14ac:dyDescent="0.35">
      <c r="A2" s="9"/>
      <c r="B2" s="9">
        <v>2019</v>
      </c>
      <c r="C2" s="9">
        <v>2020</v>
      </c>
      <c r="D2" s="9">
        <v>2021</v>
      </c>
      <c r="E2" s="9">
        <v>2022</v>
      </c>
    </row>
    <row r="3" spans="1:6" x14ac:dyDescent="0.35">
      <c r="A3" t="str">
        <f>'GOOGL Income Statement'!A3</f>
        <v>Sales</v>
      </c>
      <c r="B3" s="2">
        <f>'GOOGL Income Statement'!B3</f>
        <v>161857</v>
      </c>
      <c r="C3" s="2">
        <f>'GOOGL Income Statement'!C3</f>
        <v>182527</v>
      </c>
      <c r="D3" s="2">
        <f>'GOOGL Income Statement'!D3</f>
        <v>257637</v>
      </c>
      <c r="E3" s="2">
        <f>'GOOGL Income Statement'!E3</f>
        <v>282836</v>
      </c>
      <c r="F3" t="str">
        <f t="shared" ref="F3:F10" ca="1" si="0">"&lt;--"&amp;_xlfn.FORMULATEXT(E3)</f>
        <v>&lt;--='GOOGL Income Statement'!E3</v>
      </c>
    </row>
    <row r="4" spans="1:6" x14ac:dyDescent="0.35">
      <c r="A4" t="str">
        <f>'GOOGL Income Statement'!A4</f>
        <v>Cost of sales</v>
      </c>
      <c r="B4" s="2">
        <f>'GOOGL Income Statement'!B4</f>
        <v>71896</v>
      </c>
      <c r="C4" s="2">
        <f>'GOOGL Income Statement'!C4</f>
        <v>84732</v>
      </c>
      <c r="D4" s="2">
        <f>'GOOGL Income Statement'!D4</f>
        <v>110939</v>
      </c>
      <c r="E4" s="2">
        <f>'GOOGL Income Statement'!E4</f>
        <v>126203</v>
      </c>
      <c r="F4" t="str">
        <f t="shared" ca="1" si="0"/>
        <v>&lt;--='GOOGL Income Statement'!E4</v>
      </c>
    </row>
    <row r="5" spans="1:6" x14ac:dyDescent="0.35">
      <c r="A5" t="str">
        <f>'GOOGL Income Statement'!A6</f>
        <v>Other costs, expenses and other</v>
      </c>
      <c r="B5" s="2">
        <f>'GOOGL Income Statement'!B13</f>
        <v>50336</v>
      </c>
      <c r="C5" s="2">
        <f>'GOOGL Income Statement'!C13</f>
        <v>49713</v>
      </c>
      <c r="D5" s="2">
        <f>'GOOGL Income Statement'!D13</f>
        <v>55964</v>
      </c>
      <c r="E5" s="2">
        <f>'GOOGL Income Statement'!E13</f>
        <v>85305</v>
      </c>
      <c r="F5" t="str">
        <f t="shared" ca="1" si="0"/>
        <v>&lt;--='GOOGL Income Statement'!E13</v>
      </c>
    </row>
    <row r="6" spans="1:6" x14ac:dyDescent="0.35">
      <c r="A6" t="str">
        <f>'GOOGL Income Statement'!A11</f>
        <v>Interest expense</v>
      </c>
      <c r="B6" s="2">
        <f>-'GOOGL Income Statement'!B11</f>
        <v>-100</v>
      </c>
      <c r="C6" s="2">
        <f>-'GOOGL Income Statement'!C11</f>
        <v>-135</v>
      </c>
      <c r="D6" s="2">
        <f>-'GOOGL Income Statement'!D11</f>
        <v>-346</v>
      </c>
      <c r="E6" s="2">
        <f>-'GOOGL Income Statement'!E11</f>
        <v>-357</v>
      </c>
      <c r="F6" t="str">
        <f t="shared" ca="1" si="0"/>
        <v>&lt;--=-'GOOGL Income Statement'!E11</v>
      </c>
    </row>
    <row r="7" spans="1:6" x14ac:dyDescent="0.35">
      <c r="A7" t="str">
        <f>'GOOGL Income Statement'!A10</f>
        <v>Interest income</v>
      </c>
      <c r="B7" s="2">
        <f>-'GOOGL Income Statement'!B10</f>
        <v>2427</v>
      </c>
      <c r="C7" s="2">
        <f>-'GOOGL Income Statement'!C10</f>
        <v>1865</v>
      </c>
      <c r="D7" s="2">
        <f>-'GOOGL Income Statement'!D10</f>
        <v>1499</v>
      </c>
      <c r="E7" s="2">
        <f>-'GOOGL Income Statement'!E10</f>
        <v>2174</v>
      </c>
      <c r="F7" t="str">
        <f t="shared" ca="1" si="0"/>
        <v>&lt;--=-'GOOGL Income Statement'!E10</v>
      </c>
    </row>
    <row r="8" spans="1:6" x14ac:dyDescent="0.35">
      <c r="A8" s="2" t="str">
        <f>'GOOGL Cash-flows'!A6</f>
        <v>Depreciation and amortization</v>
      </c>
      <c r="B8" s="2">
        <f>-'GOOGL Cash-flows'!B6</f>
        <v>-11651</v>
      </c>
      <c r="C8" s="2">
        <f>-'GOOGL Cash-flows'!C6</f>
        <v>-13679</v>
      </c>
      <c r="D8" s="2">
        <f>-'GOOGL Cash-flows'!D6</f>
        <v>-12430</v>
      </c>
      <c r="E8" s="2">
        <f>-'GOOGL Cash-flows'!E6</f>
        <v>-15929</v>
      </c>
      <c r="F8" t="str">
        <f t="shared" ca="1" si="0"/>
        <v>&lt;--=-'GOOGL Cash-flows'!E6</v>
      </c>
    </row>
    <row r="9" spans="1:6" x14ac:dyDescent="0.35">
      <c r="A9" s="4" t="s">
        <v>69</v>
      </c>
      <c r="B9" s="5">
        <f>SUM(B4:B8)</f>
        <v>112908</v>
      </c>
      <c r="C9" s="5">
        <f t="shared" ref="C9:E9" si="1">SUM(C4:C8)</f>
        <v>122496</v>
      </c>
      <c r="D9" s="5">
        <f t="shared" si="1"/>
        <v>155626</v>
      </c>
      <c r="E9" s="5">
        <f t="shared" si="1"/>
        <v>197396</v>
      </c>
      <c r="F9" s="4" t="str">
        <f t="shared" ca="1" si="0"/>
        <v>&lt;--=SUM(E4:E8)</v>
      </c>
    </row>
    <row r="10" spans="1:6" x14ac:dyDescent="0.35">
      <c r="A10" t="s">
        <v>72</v>
      </c>
      <c r="B10" s="17">
        <f>B9/B3</f>
        <v>0.69757872690090639</v>
      </c>
      <c r="C10" s="17">
        <f>C9/C3</f>
        <v>0.67111167115002168</v>
      </c>
      <c r="D10" s="17">
        <f>D9/D3</f>
        <v>0.60405143671134187</v>
      </c>
      <c r="E10" s="17">
        <f>E9/E3</f>
        <v>0.69791681398407557</v>
      </c>
      <c r="F10" t="str">
        <f t="shared" ca="1" si="0"/>
        <v>&lt;--=E9/E3</v>
      </c>
    </row>
    <row r="12" spans="1:6" x14ac:dyDescent="0.35">
      <c r="A12" t="s">
        <v>70</v>
      </c>
      <c r="B12" s="2">
        <f>INTERCEPT(B9:E9,B3:E3)</f>
        <v>7727.3287145002978</v>
      </c>
      <c r="C12" t="str">
        <f ca="1">"&lt;--"&amp;_xlfn.FORMULATEXT(B12)</f>
        <v>&lt;--=INTERCEPT(B9:E9,B3:E3)</v>
      </c>
    </row>
    <row r="13" spans="1:6" x14ac:dyDescent="0.35">
      <c r="A13" t="s">
        <v>71</v>
      </c>
      <c r="B13" s="8">
        <f>SLOPE(B9:E9,B3:E3)</f>
        <v>0.63006416307041568</v>
      </c>
      <c r="C13" t="str">
        <f ca="1">"&lt;--"&amp;_xlfn.FORMULATEXT(B13)</f>
        <v>&lt;--=SLOPE(B9:E9,B3:E3)</v>
      </c>
    </row>
  </sheetData>
  <mergeCells count="1">
    <mergeCell ref="A1:F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7F4A5-7D5F-45F1-8F97-BBB0725776E8}">
  <sheetPr codeName="Sheet6"/>
  <dimension ref="A1:I19"/>
  <sheetViews>
    <sheetView workbookViewId="0">
      <selection activeCell="I26" sqref="I26"/>
    </sheetView>
  </sheetViews>
  <sheetFormatPr defaultRowHeight="14.5" x14ac:dyDescent="0.35"/>
  <cols>
    <col min="1" max="1" width="30.08984375" bestFit="1" customWidth="1"/>
    <col min="6" max="6" width="15.6328125" bestFit="1" customWidth="1"/>
  </cols>
  <sheetData>
    <row r="1" spans="1:9" ht="18.5" x14ac:dyDescent="0.45">
      <c r="A1" s="91" t="s">
        <v>228</v>
      </c>
      <c r="B1" s="91"/>
      <c r="C1" s="91"/>
      <c r="D1" s="91"/>
      <c r="E1" s="91"/>
      <c r="F1" s="91"/>
    </row>
    <row r="2" spans="1:9" x14ac:dyDescent="0.35">
      <c r="A2" s="9"/>
      <c r="B2" s="9">
        <v>2019</v>
      </c>
      <c r="C2" s="9">
        <v>2020</v>
      </c>
      <c r="D2" s="9">
        <v>2021</v>
      </c>
      <c r="E2" s="9">
        <v>2022</v>
      </c>
    </row>
    <row r="3" spans="1:9" x14ac:dyDescent="0.35">
      <c r="A3" t="str">
        <f>'GOOGL Income Statement'!A3</f>
        <v>Sales</v>
      </c>
      <c r="B3" s="2">
        <f>'GOOGL Income Statement'!B3</f>
        <v>161857</v>
      </c>
      <c r="C3" s="2">
        <f>'GOOGL Income Statement'!C3</f>
        <v>182527</v>
      </c>
      <c r="D3" s="2">
        <f>'GOOGL Income Statement'!D3</f>
        <v>257637</v>
      </c>
      <c r="E3" s="2">
        <f>'GOOGL Income Statement'!E3</f>
        <v>282836</v>
      </c>
    </row>
    <row r="4" spans="1:9" x14ac:dyDescent="0.35">
      <c r="A4" s="9"/>
      <c r="B4" s="9"/>
      <c r="C4" s="9"/>
      <c r="D4" s="9"/>
      <c r="E4" s="9"/>
    </row>
    <row r="5" spans="1:9" x14ac:dyDescent="0.35">
      <c r="A5" s="4" t="s">
        <v>61</v>
      </c>
    </row>
    <row r="6" spans="1:9" x14ac:dyDescent="0.35">
      <c r="A6" s="2" t="str">
        <f>'GOOGL Balance Sheet'!A7</f>
        <v>Accounts receivable</v>
      </c>
      <c r="B6" s="2">
        <f>'GOOGL Balance Sheet'!B7</f>
        <v>27492</v>
      </c>
      <c r="C6" s="2">
        <f>'GOOGL Balance Sheet'!C7</f>
        <v>31384</v>
      </c>
      <c r="D6" s="2">
        <f>'GOOGL Balance Sheet'!D7</f>
        <v>39304</v>
      </c>
      <c r="E6" s="2">
        <f>'GOOGL Balance Sheet'!E7</f>
        <v>40258</v>
      </c>
    </row>
    <row r="7" spans="1:9" x14ac:dyDescent="0.35">
      <c r="A7" s="2" t="str">
        <f>+'GOOGL Balance Sheet'!A8</f>
        <v>Inventories</v>
      </c>
      <c r="B7" s="2">
        <f>+'GOOGL Balance Sheet'!B8</f>
        <v>999</v>
      </c>
      <c r="C7" s="2">
        <f>+'GOOGL Balance Sheet'!C8</f>
        <v>728</v>
      </c>
      <c r="D7" s="2">
        <f>+'GOOGL Balance Sheet'!D8</f>
        <v>1170</v>
      </c>
      <c r="E7" s="2">
        <f>+'GOOGL Balance Sheet'!E8</f>
        <v>2670</v>
      </c>
      <c r="I7" s="2"/>
    </row>
    <row r="8" spans="1:9" x14ac:dyDescent="0.35">
      <c r="A8" s="2" t="str">
        <f>+'GOOGL Balance Sheet'!A9</f>
        <v>Other current assets</v>
      </c>
      <c r="B8" s="2">
        <f>+'GOOGL Balance Sheet'!B9</f>
        <v>4412</v>
      </c>
      <c r="C8" s="2">
        <f>+'GOOGL Balance Sheet'!C9</f>
        <v>5490</v>
      </c>
      <c r="D8" s="2">
        <f>+'GOOGL Balance Sheet'!D9</f>
        <v>8020</v>
      </c>
      <c r="E8" s="2">
        <f>+'GOOGL Balance Sheet'!E9</f>
        <v>8105</v>
      </c>
    </row>
    <row r="9" spans="1:9" x14ac:dyDescent="0.35">
      <c r="A9" s="5" t="s">
        <v>62</v>
      </c>
      <c r="B9" s="5">
        <f>SUM(B6:B8)</f>
        <v>32903</v>
      </c>
      <c r="C9" s="5">
        <f t="shared" ref="C9:E9" si="0">SUM(C6:C8)</f>
        <v>37602</v>
      </c>
      <c r="D9" s="5">
        <f t="shared" si="0"/>
        <v>48494</v>
      </c>
      <c r="E9" s="5">
        <f t="shared" si="0"/>
        <v>51033</v>
      </c>
      <c r="F9" s="4" t="str">
        <f ca="1">"&lt;--"&amp;_xlfn.FORMULATEXT(E9)</f>
        <v>&lt;--=SUM(E6:E8)</v>
      </c>
    </row>
    <row r="10" spans="1:9" x14ac:dyDescent="0.35">
      <c r="A10" t="s">
        <v>66</v>
      </c>
      <c r="B10" s="14">
        <f>B9/B3</f>
        <v>0.20328438065699969</v>
      </c>
      <c r="C10" s="14">
        <f t="shared" ref="C10:E10" si="1">C9/C3</f>
        <v>0.20600787828650008</v>
      </c>
      <c r="D10" s="14">
        <f t="shared" si="1"/>
        <v>0.18822607001323569</v>
      </c>
      <c r="E10" s="14">
        <f t="shared" si="1"/>
        <v>0.18043318389455373</v>
      </c>
      <c r="F10" t="str">
        <f ca="1">"&lt;--"&amp;_xlfn.FORMULATEXT(E10)</f>
        <v>&lt;--=E9/E3</v>
      </c>
    </row>
    <row r="12" spans="1:9" x14ac:dyDescent="0.35">
      <c r="A12" s="4" t="s">
        <v>63</v>
      </c>
    </row>
    <row r="13" spans="1:9" x14ac:dyDescent="0.35">
      <c r="A13" s="2" t="str">
        <f>'GOOGL Balance Sheet'!A23</f>
        <v>Trade accounts payable</v>
      </c>
      <c r="B13" s="2">
        <f>'GOOGL Balance Sheet'!B23</f>
        <v>5561</v>
      </c>
      <c r="C13" s="2">
        <f>'GOOGL Balance Sheet'!C23</f>
        <v>5589</v>
      </c>
      <c r="D13" s="2">
        <f>'GOOGL Balance Sheet'!D23</f>
        <v>6037</v>
      </c>
      <c r="E13" s="2">
        <f>'GOOGL Balance Sheet'!E23</f>
        <v>5128</v>
      </c>
    </row>
    <row r="14" spans="1:9" x14ac:dyDescent="0.35">
      <c r="A14" s="2" t="str">
        <f>'GOOGL Balance Sheet'!A25</f>
        <v>Income taxes payable</v>
      </c>
      <c r="B14" s="2">
        <f>'GOOGL Balance Sheet'!B25</f>
        <v>274</v>
      </c>
      <c r="C14" s="2">
        <f>'GOOGL Balance Sheet'!C25</f>
        <v>1485</v>
      </c>
      <c r="D14" s="2">
        <f>'GOOGL Balance Sheet'!D25</f>
        <v>0</v>
      </c>
      <c r="E14" s="2">
        <f>'GOOGL Balance Sheet'!E25</f>
        <v>0</v>
      </c>
    </row>
    <row r="15" spans="1:9" x14ac:dyDescent="0.35">
      <c r="A15" s="4" t="s">
        <v>64</v>
      </c>
      <c r="B15" s="5">
        <f>SUM(B13:B14)</f>
        <v>5835</v>
      </c>
      <c r="C15" s="5">
        <f t="shared" ref="C15:E15" si="2">SUM(C13:C14)</f>
        <v>7074</v>
      </c>
      <c r="D15" s="5">
        <f t="shared" si="2"/>
        <v>6037</v>
      </c>
      <c r="E15" s="5">
        <f t="shared" si="2"/>
        <v>5128</v>
      </c>
      <c r="F15" s="4" t="str">
        <f ca="1">"&lt;--"&amp;_xlfn.FORMULATEXT(E15)</f>
        <v>&lt;--=SUM(E13:E14)</v>
      </c>
    </row>
    <row r="16" spans="1:9" x14ac:dyDescent="0.35">
      <c r="A16" t="s">
        <v>67</v>
      </c>
      <c r="B16" s="14">
        <f>B15/B3</f>
        <v>3.6050340732869141E-2</v>
      </c>
      <c r="C16" s="14">
        <f t="shared" ref="C16:E16" si="3">C15/C3</f>
        <v>3.8755910084535439E-2</v>
      </c>
      <c r="D16" s="14">
        <f t="shared" si="3"/>
        <v>2.3432193357320573E-2</v>
      </c>
      <c r="E16" s="14">
        <f t="shared" si="3"/>
        <v>1.8130648149457636E-2</v>
      </c>
      <c r="F16" t="str">
        <f ca="1">"&lt;--"&amp;_xlfn.FORMULATEXT(E16)</f>
        <v>&lt;--=E15/E3</v>
      </c>
    </row>
    <row r="18" spans="1:6" x14ac:dyDescent="0.35">
      <c r="A18" s="4" t="s">
        <v>65</v>
      </c>
      <c r="B18" s="5">
        <f>B9-B15</f>
        <v>27068</v>
      </c>
      <c r="C18" s="5">
        <f t="shared" ref="C18:E18" si="4">C9-C15</f>
        <v>30528</v>
      </c>
      <c r="D18" s="5">
        <f t="shared" si="4"/>
        <v>42457</v>
      </c>
      <c r="E18" s="5">
        <f t="shared" si="4"/>
        <v>45905</v>
      </c>
      <c r="F18" s="4" t="str">
        <f ca="1">"&lt;--"&amp;_xlfn.FORMULATEXT(E18)</f>
        <v>&lt;--=E9-E15</v>
      </c>
    </row>
    <row r="19" spans="1:6" x14ac:dyDescent="0.35">
      <c r="A19" t="s">
        <v>68</v>
      </c>
      <c r="B19" s="14">
        <f>B18/B3</f>
        <v>0.16723403992413055</v>
      </c>
      <c r="C19" s="14">
        <f t="shared" ref="C19:E19" si="5">C18/C3</f>
        <v>0.16725196820196464</v>
      </c>
      <c r="D19" s="14">
        <f t="shared" si="5"/>
        <v>0.16479387665591511</v>
      </c>
      <c r="E19" s="14">
        <f t="shared" si="5"/>
        <v>0.16230253574509609</v>
      </c>
      <c r="F19" t="str">
        <f ca="1">"&lt;--"&amp;_xlfn.FORMULATEXT(E19)</f>
        <v>&lt;--=E18/E3</v>
      </c>
    </row>
  </sheetData>
  <mergeCells count="1">
    <mergeCell ref="A1:F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4464C-76C2-426E-BDAE-35439D04BF2A}">
  <sheetPr codeName="Sheet7"/>
  <dimension ref="A1:F14"/>
  <sheetViews>
    <sheetView workbookViewId="0">
      <selection activeCell="H15" sqref="H15"/>
    </sheetView>
  </sheetViews>
  <sheetFormatPr defaultRowHeight="14.5" x14ac:dyDescent="0.35"/>
  <cols>
    <col min="1" max="1" width="39.26953125" customWidth="1"/>
  </cols>
  <sheetData>
    <row r="1" spans="1:6" ht="18.5" x14ac:dyDescent="0.45">
      <c r="A1" s="91" t="s">
        <v>229</v>
      </c>
      <c r="B1" s="91"/>
      <c r="C1" s="91"/>
      <c r="D1" s="91"/>
      <c r="E1" s="91"/>
      <c r="F1" s="91"/>
    </row>
    <row r="2" spans="1:6" x14ac:dyDescent="0.35">
      <c r="B2" s="4">
        <f>'GOOGL Balance Sheet'!B2</f>
        <v>2019</v>
      </c>
      <c r="C2" s="4">
        <f>'GOOGL Balance Sheet'!C2</f>
        <v>2020</v>
      </c>
      <c r="D2" s="4">
        <f>'GOOGL Balance Sheet'!D2</f>
        <v>2021</v>
      </c>
      <c r="E2" s="4">
        <f>'GOOGL Balance Sheet'!E2</f>
        <v>2022</v>
      </c>
    </row>
    <row r="3" spans="1:6" x14ac:dyDescent="0.35">
      <c r="A3" t="str">
        <f>'GOOGL Balance Sheet'!A12&amp;" (PP&amp;E)"</f>
        <v>Property, plant and equipment (at cost) (PP&amp;E)</v>
      </c>
      <c r="B3" s="2">
        <f>'GOOGL Balance Sheet'!B12</f>
        <v>115148</v>
      </c>
      <c r="C3" s="2">
        <f>'GOOGL Balance Sheet'!C12</f>
        <v>138673</v>
      </c>
      <c r="D3" s="2">
        <f>'GOOGL Balance Sheet'!D12</f>
        <v>159972</v>
      </c>
      <c r="E3" s="2">
        <f>'GOOGL Balance Sheet'!E12</f>
        <v>186091</v>
      </c>
    </row>
    <row r="4" spans="1:6" x14ac:dyDescent="0.35">
      <c r="A4" t="str">
        <f>'GOOGL Balance Sheet'!A13</f>
        <v>Less accumulated depreciation</v>
      </c>
      <c r="B4" s="2">
        <f>'GOOGL Balance Sheet'!B13</f>
        <v>30561</v>
      </c>
      <c r="C4" s="2">
        <f>'GOOGL Balance Sheet'!C13</f>
        <v>41713</v>
      </c>
      <c r="D4" s="2">
        <f>'GOOGL Balance Sheet'!D13</f>
        <v>49414</v>
      </c>
      <c r="E4" s="2">
        <f>'GOOGL Balance Sheet'!E13</f>
        <v>59042</v>
      </c>
    </row>
    <row r="5" spans="1:6" x14ac:dyDescent="0.35">
      <c r="A5" s="4" t="str">
        <f>'GOOGL Balance Sheet'!A14</f>
        <v>Net PP&amp;E</v>
      </c>
      <c r="B5" s="5">
        <f>'GOOGL Balance Sheet'!B14</f>
        <v>84587</v>
      </c>
      <c r="C5" s="5">
        <f>'GOOGL Balance Sheet'!C14</f>
        <v>96960</v>
      </c>
      <c r="D5" s="5">
        <f>'GOOGL Balance Sheet'!D14</f>
        <v>110558</v>
      </c>
      <c r="E5" s="5">
        <f>'GOOGL Balance Sheet'!E14</f>
        <v>127049</v>
      </c>
    </row>
    <row r="6" spans="1:6" x14ac:dyDescent="0.35">
      <c r="B6" s="2"/>
      <c r="C6" s="2"/>
      <c r="D6" s="2"/>
      <c r="E6" s="2"/>
    </row>
    <row r="7" spans="1:6" x14ac:dyDescent="0.35">
      <c r="A7" t="str">
        <f>'Operating costs analysis'!A3</f>
        <v>Sales</v>
      </c>
      <c r="B7" s="2">
        <f>'Operating costs analysis'!B3</f>
        <v>161857</v>
      </c>
      <c r="C7" s="2">
        <f>'Operating costs analysis'!C3</f>
        <v>182527</v>
      </c>
      <c r="D7" s="2">
        <f>'Operating costs analysis'!D3</f>
        <v>257637</v>
      </c>
      <c r="E7" s="2">
        <f>'Operating costs analysis'!E3</f>
        <v>282836</v>
      </c>
    </row>
    <row r="9" spans="1:6" x14ac:dyDescent="0.35">
      <c r="A9" t="s">
        <v>74</v>
      </c>
      <c r="B9" s="17">
        <f>B3/B7</f>
        <v>0.71141810363468994</v>
      </c>
      <c r="C9" s="17">
        <f t="shared" ref="C9:E9" si="0">C3/C7</f>
        <v>0.75973965495515727</v>
      </c>
      <c r="D9" s="17">
        <f t="shared" si="0"/>
        <v>0.62092013181336536</v>
      </c>
      <c r="E9" s="17">
        <f t="shared" si="0"/>
        <v>0.6579466545984245</v>
      </c>
      <c r="F9" t="str">
        <f ca="1">"&lt;--"&amp;_xlfn.FORMULATEXT(E9)</f>
        <v>&lt;--=E3/E7</v>
      </c>
    </row>
    <row r="10" spans="1:6" x14ac:dyDescent="0.35">
      <c r="A10" t="s">
        <v>73</v>
      </c>
      <c r="B10" s="17">
        <f>B5/B7</f>
        <v>0.52260328561631564</v>
      </c>
      <c r="C10" s="17">
        <f t="shared" ref="C10:E10" si="1">C5/C7</f>
        <v>0.53120908139617695</v>
      </c>
      <c r="D10" s="17">
        <f t="shared" si="1"/>
        <v>0.42912314613196084</v>
      </c>
      <c r="E10" s="17">
        <f t="shared" si="1"/>
        <v>0.44919670763269176</v>
      </c>
      <c r="F10" t="str">
        <f ca="1">"&lt;--"&amp;_xlfn.FORMULATEXT(E10)</f>
        <v>&lt;--=E5/E7</v>
      </c>
    </row>
    <row r="12" spans="1:6" x14ac:dyDescent="0.35">
      <c r="A12" t="s">
        <v>75</v>
      </c>
    </row>
    <row r="13" spans="1:6" x14ac:dyDescent="0.35">
      <c r="A13" t="s">
        <v>74</v>
      </c>
      <c r="B13" s="17">
        <f>AVERAGE(B9:E9)</f>
        <v>0.68750613625040935</v>
      </c>
      <c r="C13" t="str">
        <f ca="1">"&lt;--"&amp;_xlfn.FORMULATEXT(B13)</f>
        <v>&lt;--=AVERAGE(B9:E9)</v>
      </c>
    </row>
    <row r="14" spans="1:6" x14ac:dyDescent="0.35">
      <c r="A14" s="15" t="s">
        <v>73</v>
      </c>
      <c r="B14" s="19">
        <f>AVERAGE(B10:E10)</f>
        <v>0.4830330551942863</v>
      </c>
      <c r="C14" t="str">
        <f ca="1">"&lt;--"&amp;_xlfn.FORMULATEXT(B14)</f>
        <v>&lt;--=AVERAGE(B10:E10)</v>
      </c>
    </row>
  </sheetData>
  <mergeCells count="1">
    <mergeCell ref="A1:F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B7314-F39F-4DB0-8A08-D892C89EE829}">
  <sheetPr codeName="Sheet8"/>
  <dimension ref="A1:F13"/>
  <sheetViews>
    <sheetView workbookViewId="0">
      <selection activeCell="J10" sqref="J10"/>
    </sheetView>
  </sheetViews>
  <sheetFormatPr defaultRowHeight="14.5" x14ac:dyDescent="0.35"/>
  <cols>
    <col min="1" max="1" width="37.81640625" bestFit="1" customWidth="1"/>
  </cols>
  <sheetData>
    <row r="1" spans="1:6" ht="18.5" x14ac:dyDescent="0.45">
      <c r="A1" s="91" t="s">
        <v>230</v>
      </c>
      <c r="B1" s="91"/>
      <c r="C1" s="91"/>
      <c r="D1" s="91"/>
      <c r="E1" s="91"/>
      <c r="F1" s="91"/>
    </row>
    <row r="2" spans="1:6" x14ac:dyDescent="0.35">
      <c r="B2" s="4">
        <f>'GOOGL Balance Sheet'!B2</f>
        <v>2019</v>
      </c>
      <c r="C2" s="4">
        <f>'GOOGL Balance Sheet'!C2</f>
        <v>2020</v>
      </c>
      <c r="D2" s="4">
        <f>'GOOGL Balance Sheet'!D2</f>
        <v>2021</v>
      </c>
      <c r="E2" s="4">
        <f>'GOOGL Balance Sheet'!E2</f>
        <v>2022</v>
      </c>
    </row>
    <row r="3" spans="1:6" x14ac:dyDescent="0.35">
      <c r="A3" t="str">
        <f>'Fixed asset analysis'!A3</f>
        <v>Property, plant and equipment (at cost) (PP&amp;E)</v>
      </c>
      <c r="B3" s="2">
        <f>'GOOGL Balance Sheet'!B12</f>
        <v>115148</v>
      </c>
      <c r="C3" s="2">
        <f>'GOOGL Balance Sheet'!C12</f>
        <v>138673</v>
      </c>
      <c r="D3" s="2">
        <f>'GOOGL Balance Sheet'!D12</f>
        <v>159972</v>
      </c>
      <c r="E3" s="2">
        <f>'GOOGL Balance Sheet'!E12</f>
        <v>186091</v>
      </c>
    </row>
    <row r="4" spans="1:6" x14ac:dyDescent="0.35">
      <c r="A4" t="str">
        <f>'GOOGL Balance Sheet'!A13</f>
        <v>Less accumulated depreciation</v>
      </c>
      <c r="B4" s="2">
        <f>'GOOGL Balance Sheet'!B13</f>
        <v>30561</v>
      </c>
      <c r="C4" s="2">
        <f>'GOOGL Balance Sheet'!C13</f>
        <v>41713</v>
      </c>
      <c r="D4" s="2">
        <f>'GOOGL Balance Sheet'!D13</f>
        <v>49414</v>
      </c>
      <c r="E4" s="2">
        <f>'GOOGL Balance Sheet'!E13</f>
        <v>59042</v>
      </c>
    </row>
    <row r="5" spans="1:6" x14ac:dyDescent="0.35">
      <c r="A5" t="str">
        <f>'GOOGL Balance Sheet'!A14</f>
        <v>Net PP&amp;E</v>
      </c>
      <c r="B5" s="2">
        <f>'GOOGL Balance Sheet'!B14</f>
        <v>84587</v>
      </c>
      <c r="C5" s="2">
        <f>'GOOGL Balance Sheet'!C14</f>
        <v>96960</v>
      </c>
      <c r="D5" s="2">
        <f>'GOOGL Balance Sheet'!D14</f>
        <v>110558</v>
      </c>
      <c r="E5" s="2">
        <f>'GOOGL Balance Sheet'!E14</f>
        <v>127049</v>
      </c>
    </row>
    <row r="7" spans="1:6" x14ac:dyDescent="0.35">
      <c r="A7" t="s">
        <v>76</v>
      </c>
      <c r="B7" s="2">
        <f>'GOOGL Cash-flows'!B6</f>
        <v>11651</v>
      </c>
      <c r="C7" s="2">
        <f>'GOOGL Cash-flows'!C6</f>
        <v>13679</v>
      </c>
      <c r="D7" s="2">
        <f>'GOOGL Cash-flows'!D6</f>
        <v>12430</v>
      </c>
      <c r="E7" s="2">
        <f>'GOOGL Cash-flows'!E6</f>
        <v>15929</v>
      </c>
    </row>
    <row r="8" spans="1:6" x14ac:dyDescent="0.35">
      <c r="A8" t="s">
        <v>77</v>
      </c>
      <c r="B8" s="8">
        <f>B3/B7</f>
        <v>9.883100163076131</v>
      </c>
      <c r="C8" s="8">
        <f t="shared" ref="C8:E8" si="0">C3/C7</f>
        <v>10.137656261422618</v>
      </c>
      <c r="D8" s="8">
        <f t="shared" si="0"/>
        <v>12.86983105390185</v>
      </c>
      <c r="E8" s="8">
        <f t="shared" si="0"/>
        <v>11.682528721200326</v>
      </c>
      <c r="F8" t="str">
        <f ca="1">"&lt;--"&amp;_xlfn.FORMULATEXT(E8)</f>
        <v>&lt;--=E3/E7</v>
      </c>
    </row>
    <row r="10" spans="1:6" x14ac:dyDescent="0.35">
      <c r="A10" s="15" t="s">
        <v>78</v>
      </c>
      <c r="B10" s="20">
        <f>ROUND(AVERAGE(B8:E8),0)</f>
        <v>11</v>
      </c>
      <c r="C10" t="str">
        <f ca="1">"&lt;--"&amp;_xlfn.FORMULATEXT(B10)</f>
        <v>&lt;--=ROUND(AVERAGE(B8:E8),0)</v>
      </c>
    </row>
    <row r="12" spans="1:6" x14ac:dyDescent="0.35">
      <c r="A12" t="s">
        <v>0</v>
      </c>
      <c r="B12" s="2">
        <f>'GOOGL Income Statement'!B3</f>
        <v>161857</v>
      </c>
      <c r="C12" s="2">
        <f>'GOOGL Income Statement'!C3</f>
        <v>182527</v>
      </c>
      <c r="D12" s="2">
        <f>'GOOGL Income Statement'!D3</f>
        <v>257637</v>
      </c>
      <c r="E12" s="2">
        <f>'GOOGL Income Statement'!E3</f>
        <v>282836</v>
      </c>
    </row>
    <row r="13" spans="1:6" x14ac:dyDescent="0.35">
      <c r="A13" t="s">
        <v>245</v>
      </c>
      <c r="B13" s="83">
        <f>B4/B12</f>
        <v>0.18881481801837424</v>
      </c>
      <c r="C13" s="83">
        <f t="shared" ref="C13:E13" si="1">C4/C12</f>
        <v>0.22853057355898032</v>
      </c>
      <c r="D13" s="83">
        <f t="shared" si="1"/>
        <v>0.19179698568140446</v>
      </c>
      <c r="E13" s="83">
        <f t="shared" si="1"/>
        <v>0.20874994696573279</v>
      </c>
      <c r="F13" t="str">
        <f ca="1">"&lt;--"&amp;_xlfn.FORMULATEXT(E13)</f>
        <v>&lt;--=E4/E12</v>
      </c>
    </row>
  </sheetData>
  <mergeCells count="1">
    <mergeCell ref="A1:F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0EC8A-ED38-4606-BC1D-BEDBE6B70D73}">
  <sheetPr codeName="Sheet9"/>
  <dimension ref="A1:E9"/>
  <sheetViews>
    <sheetView workbookViewId="0">
      <selection activeCell="A9" sqref="A9"/>
    </sheetView>
  </sheetViews>
  <sheetFormatPr defaultRowHeight="14.5" x14ac:dyDescent="0.35"/>
  <cols>
    <col min="1" max="1" width="47.6328125" customWidth="1"/>
    <col min="2" max="2" width="7.1796875" bestFit="1" customWidth="1"/>
    <col min="3" max="3" width="9.7265625" customWidth="1"/>
    <col min="4" max="5" width="7.08984375" customWidth="1"/>
  </cols>
  <sheetData>
    <row r="1" spans="1:5" ht="18.5" x14ac:dyDescent="0.45">
      <c r="A1" s="91" t="s">
        <v>231</v>
      </c>
      <c r="B1" s="91"/>
      <c r="C1" s="91"/>
      <c r="D1" s="91"/>
      <c r="E1" s="91"/>
    </row>
    <row r="2" spans="1:5" x14ac:dyDescent="0.35">
      <c r="B2" s="4">
        <f>'GOOGL Balance Sheet'!B2</f>
        <v>2019</v>
      </c>
      <c r="C2" s="4">
        <f>'GOOGL Balance Sheet'!C2</f>
        <v>2020</v>
      </c>
      <c r="D2" s="4">
        <f>'GOOGL Balance Sheet'!D2</f>
        <v>2021</v>
      </c>
      <c r="E2" s="4">
        <f>'GOOGL Balance Sheet'!E2</f>
        <v>2022</v>
      </c>
    </row>
    <row r="3" spans="1:5" x14ac:dyDescent="0.35">
      <c r="A3" t="str">
        <f>'GOOGL Income Statement'!A18</f>
        <v>Net income attributable to Alphabet Inc. shareholders</v>
      </c>
      <c r="B3" s="2">
        <f>'GOOGL Income Statement'!B18</f>
        <v>34343</v>
      </c>
      <c r="C3" s="2">
        <f>'GOOGL Income Statement'!C18</f>
        <v>40269</v>
      </c>
      <c r="D3" s="2">
        <f>'GOOGL Income Statement'!D18</f>
        <v>76033</v>
      </c>
      <c r="E3" s="2">
        <f>'GOOGL Income Statement'!E18</f>
        <v>59972</v>
      </c>
    </row>
    <row r="4" spans="1:5" x14ac:dyDescent="0.35">
      <c r="A4" s="2" t="str">
        <f>'GOOGL Cash-flows'!A31</f>
        <v>Dividends paid to stockholders</v>
      </c>
      <c r="B4" s="2">
        <f>-'GOOGL Cash-flows'!B31</f>
        <v>0</v>
      </c>
      <c r="C4" s="2">
        <f>-'GOOGL Cash-flows'!C31</f>
        <v>0</v>
      </c>
      <c r="D4" s="2">
        <f>-'GOOGL Cash-flows'!D31</f>
        <v>0</v>
      </c>
      <c r="E4" s="2">
        <f>-'GOOGL Cash-flows'!E31</f>
        <v>0</v>
      </c>
    </row>
    <row r="5" spans="1:5" x14ac:dyDescent="0.35">
      <c r="A5" t="s">
        <v>79</v>
      </c>
      <c r="C5" s="14">
        <v>0</v>
      </c>
      <c r="D5" s="14">
        <v>0</v>
      </c>
      <c r="E5" s="14">
        <v>0</v>
      </c>
    </row>
    <row r="6" spans="1:5" x14ac:dyDescent="0.35">
      <c r="B6" s="18"/>
      <c r="C6" s="18"/>
      <c r="D6" s="18"/>
      <c r="E6" s="18"/>
    </row>
    <row r="7" spans="1:5" x14ac:dyDescent="0.35">
      <c r="A7" s="15" t="s">
        <v>80</v>
      </c>
      <c r="B7" s="16">
        <v>0</v>
      </c>
    </row>
    <row r="9" spans="1:5" x14ac:dyDescent="0.35">
      <c r="A9" s="4" t="s">
        <v>236</v>
      </c>
    </row>
  </sheetData>
  <mergeCells count="1">
    <mergeCell ref="A1:E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FFA5E-9746-4F17-BC62-B96E2CDBBE52}">
  <sheetPr codeName="Sheet10"/>
  <dimension ref="A1:F13"/>
  <sheetViews>
    <sheetView workbookViewId="0">
      <selection activeCell="F15" sqref="F15"/>
    </sheetView>
  </sheetViews>
  <sheetFormatPr defaultRowHeight="14.5" x14ac:dyDescent="0.35"/>
  <cols>
    <col min="1" max="1" width="43.81640625" bestFit="1" customWidth="1"/>
    <col min="2" max="5" width="8" customWidth="1"/>
    <col min="6" max="6" width="13.6328125" bestFit="1" customWidth="1"/>
  </cols>
  <sheetData>
    <row r="1" spans="1:6" ht="18.5" x14ac:dyDescent="0.45">
      <c r="A1" s="91" t="s">
        <v>232</v>
      </c>
      <c r="B1" s="91"/>
      <c r="C1" s="91"/>
      <c r="D1" s="91"/>
      <c r="E1" s="91"/>
      <c r="F1" s="91"/>
    </row>
    <row r="2" spans="1:6" x14ac:dyDescent="0.35">
      <c r="B2" s="4">
        <f>'GOOGL Balance Sheet'!B2</f>
        <v>2019</v>
      </c>
      <c r="C2" s="4">
        <f>'GOOGL Balance Sheet'!C2</f>
        <v>2020</v>
      </c>
      <c r="D2" s="4">
        <f>'GOOGL Balance Sheet'!D2</f>
        <v>2021</v>
      </c>
      <c r="E2" s="4">
        <f>'GOOGL Balance Sheet'!E2</f>
        <v>2022</v>
      </c>
    </row>
    <row r="3" spans="1:6" x14ac:dyDescent="0.35">
      <c r="A3" s="4" t="s">
        <v>81</v>
      </c>
    </row>
    <row r="4" spans="1:6" x14ac:dyDescent="0.35">
      <c r="A4" s="2" t="str">
        <f>'GOOGL Balance Sheet'!A22</f>
        <v>Loans payable and current portion of long-term debt</v>
      </c>
      <c r="B4" s="2">
        <f>'GOOGL Balance Sheet'!B22</f>
        <v>1314</v>
      </c>
      <c r="C4" s="2">
        <f>'GOOGL Balance Sheet'!C22</f>
        <v>2794</v>
      </c>
      <c r="D4" s="2">
        <f>'GOOGL Balance Sheet'!D22</f>
        <v>2302</v>
      </c>
      <c r="E4" s="2">
        <f>'GOOGL Balance Sheet'!E22</f>
        <v>2775</v>
      </c>
    </row>
    <row r="5" spans="1:6" x14ac:dyDescent="0.35">
      <c r="A5" s="2" t="str">
        <f>'GOOGL Balance Sheet'!A24</f>
        <v>Accrued and other current liabilities</v>
      </c>
      <c r="B5" s="2">
        <f>'GOOGL Balance Sheet'!B24</f>
        <v>36164</v>
      </c>
      <c r="C5" s="2">
        <f>'GOOGL Balance Sheet'!C24</f>
        <v>44423</v>
      </c>
      <c r="D5" s="2">
        <f>'GOOGL Balance Sheet'!D24</f>
        <v>52627</v>
      </c>
      <c r="E5" s="2">
        <f>'GOOGL Balance Sheet'!E24</f>
        <v>57489</v>
      </c>
    </row>
    <row r="6" spans="1:6" x14ac:dyDescent="0.35">
      <c r="A6" s="2" t="str">
        <f>'GOOGL Balance Sheet'!A28</f>
        <v>Long-term debt</v>
      </c>
      <c r="B6" s="2">
        <f>'GOOGL Balance Sheet'!B28</f>
        <v>14768</v>
      </c>
      <c r="C6" s="2">
        <f>'GOOGL Balance Sheet'!C28</f>
        <v>25078</v>
      </c>
      <c r="D6" s="2">
        <f>'GOOGL Balance Sheet'!D28</f>
        <v>26206</v>
      </c>
      <c r="E6" s="2">
        <f>'GOOGL Balance Sheet'!E28</f>
        <v>27202</v>
      </c>
    </row>
    <row r="7" spans="1:6" x14ac:dyDescent="0.35">
      <c r="A7" s="2" t="str">
        <f>'GOOGL Balance Sheet'!A29</f>
        <v>Deferred income taxes</v>
      </c>
      <c r="B7" s="2">
        <f>'GOOGL Balance Sheet'!B29</f>
        <v>1701</v>
      </c>
      <c r="C7" s="2">
        <f>'GOOGL Balance Sheet'!C29</f>
        <v>3561</v>
      </c>
      <c r="D7" s="2">
        <f>'GOOGL Balance Sheet'!D29</f>
        <v>5257</v>
      </c>
      <c r="E7" s="2">
        <f>'GOOGL Balance Sheet'!E29</f>
        <v>514</v>
      </c>
    </row>
    <row r="8" spans="1:6" x14ac:dyDescent="0.35">
      <c r="A8" s="2" t="str">
        <f>'GOOGL Balance Sheet'!A30</f>
        <v>Other noncurrent liabilities</v>
      </c>
      <c r="B8" s="2">
        <f>'GOOGL Balance Sheet'!B30</f>
        <v>12777</v>
      </c>
      <c r="C8" s="2">
        <f>'GOOGL Balance Sheet'!C30</f>
        <v>11599</v>
      </c>
      <c r="D8" s="2">
        <f>'GOOGL Balance Sheet'!D30</f>
        <v>11916</v>
      </c>
      <c r="E8" s="2">
        <f>'GOOGL Balance Sheet'!E30</f>
        <v>12104</v>
      </c>
    </row>
    <row r="9" spans="1:6" x14ac:dyDescent="0.35">
      <c r="A9" t="str">
        <f>'GOOGL Balance Sheet'!A40</f>
        <v>Noncontrolling interests</v>
      </c>
      <c r="B9">
        <f>'GOOGL Balance Sheet'!B40</f>
        <v>0</v>
      </c>
      <c r="C9">
        <f>'GOOGL Balance Sheet'!C40</f>
        <v>0</v>
      </c>
      <c r="D9">
        <f>'GOOGL Balance Sheet'!D40</f>
        <v>0</v>
      </c>
      <c r="E9">
        <f>'GOOGL Balance Sheet'!E40</f>
        <v>0</v>
      </c>
    </row>
    <row r="10" spans="1:6" x14ac:dyDescent="0.35">
      <c r="A10" s="4" t="s">
        <v>82</v>
      </c>
      <c r="B10" s="5">
        <f>SUM(B4:B9)</f>
        <v>66724</v>
      </c>
      <c r="C10" s="5">
        <f t="shared" ref="C10:E10" si="0">SUM(C4:C9)</f>
        <v>87455</v>
      </c>
      <c r="D10" s="5">
        <f t="shared" si="0"/>
        <v>98308</v>
      </c>
      <c r="E10" s="5">
        <f t="shared" si="0"/>
        <v>100084</v>
      </c>
      <c r="F10" s="4" t="str">
        <f ca="1">"&lt;--"&amp;_xlfn.FORMULATEXT(E10)</f>
        <v>&lt;--=SUM(E4:E9)</v>
      </c>
    </row>
    <row r="12" spans="1:6" x14ac:dyDescent="0.35">
      <c r="A12" t="s">
        <v>0</v>
      </c>
      <c r="B12" s="2">
        <f>'GOOGL Income Statement'!B3</f>
        <v>161857</v>
      </c>
      <c r="C12" s="2">
        <f>'GOOGL Income Statement'!C3</f>
        <v>182527</v>
      </c>
      <c r="D12" s="2">
        <f>'GOOGL Income Statement'!D3</f>
        <v>257637</v>
      </c>
      <c r="E12" s="2">
        <f>'GOOGL Income Statement'!E3</f>
        <v>282836</v>
      </c>
    </row>
    <row r="13" spans="1:6" x14ac:dyDescent="0.35">
      <c r="A13" t="s">
        <v>246</v>
      </c>
      <c r="B13" s="83">
        <f>B10/B12</f>
        <v>0.41224043445757674</v>
      </c>
      <c r="C13" s="83">
        <f t="shared" ref="C13:E13" si="1">C10/C12</f>
        <v>0.47913459378612477</v>
      </c>
      <c r="D13" s="83">
        <f t="shared" si="1"/>
        <v>0.38157562772427872</v>
      </c>
      <c r="E13" s="83">
        <f t="shared" si="1"/>
        <v>0.35385877328204329</v>
      </c>
      <c r="F13" s="4" t="str">
        <f ca="1">"&lt;--"&amp;_xlfn.FORMULATEXT(E13)</f>
        <v>&lt;--=E10/E12</v>
      </c>
    </row>
  </sheetData>
  <mergeCells count="1">
    <mergeCell ref="A1:F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A1AB8-9175-4271-ABBF-6CD307DAB42E}">
  <dimension ref="A1:F7"/>
  <sheetViews>
    <sheetView workbookViewId="0">
      <selection activeCell="H14" sqref="H14"/>
    </sheetView>
  </sheetViews>
  <sheetFormatPr defaultRowHeight="14.5" x14ac:dyDescent="0.35"/>
  <cols>
    <col min="1" max="1" width="26.90625" bestFit="1" customWidth="1"/>
  </cols>
  <sheetData>
    <row r="1" spans="1:6" ht="18.5" x14ac:dyDescent="0.45">
      <c r="A1" s="91" t="s">
        <v>250</v>
      </c>
      <c r="B1" s="91"/>
      <c r="C1" s="91"/>
      <c r="D1" s="91"/>
      <c r="E1" s="91"/>
      <c r="F1" s="91"/>
    </row>
    <row r="2" spans="1:6" x14ac:dyDescent="0.35">
      <c r="B2" s="4">
        <f>'GOOGL Balance Sheet'!B2</f>
        <v>2019</v>
      </c>
      <c r="C2" s="4">
        <f>'GOOGL Balance Sheet'!C2</f>
        <v>2020</v>
      </c>
      <c r="D2" s="4">
        <f>'GOOGL Balance Sheet'!D2</f>
        <v>2021</v>
      </c>
      <c r="E2" s="4">
        <f>'GOOGL Balance Sheet'!E2</f>
        <v>2022</v>
      </c>
    </row>
    <row r="3" spans="1:6" x14ac:dyDescent="0.35">
      <c r="A3" t="str">
        <f>'[1]LLY Income Statement'!A11</f>
        <v>Interest expense</v>
      </c>
      <c r="B3" s="2">
        <f>'GOOGL Income Statement'!B11</f>
        <v>100</v>
      </c>
      <c r="C3" s="2">
        <f>'GOOGL Income Statement'!C11</f>
        <v>135</v>
      </c>
      <c r="D3" s="2">
        <f>'GOOGL Income Statement'!D11</f>
        <v>346</v>
      </c>
      <c r="E3" s="2">
        <f>'GOOGL Income Statement'!E11</f>
        <v>357</v>
      </c>
    </row>
    <row r="4" spans="1:6" x14ac:dyDescent="0.35">
      <c r="A4" t="s">
        <v>247</v>
      </c>
      <c r="B4" s="84">
        <f>'GOOGL Balance Sheet'!B22+'GOOGL Balance Sheet'!B28</f>
        <v>16082</v>
      </c>
      <c r="C4" s="84">
        <f>'GOOGL Balance Sheet'!C22+'GOOGL Balance Sheet'!C28</f>
        <v>27872</v>
      </c>
      <c r="D4" s="84">
        <f>'GOOGL Balance Sheet'!D22+'GOOGL Balance Sheet'!D28</f>
        <v>28508</v>
      </c>
      <c r="E4" s="84">
        <f>'GOOGL Balance Sheet'!E22+'GOOGL Balance Sheet'!E28</f>
        <v>29977</v>
      </c>
    </row>
    <row r="5" spans="1:6" x14ac:dyDescent="0.35">
      <c r="A5" s="4" t="s">
        <v>248</v>
      </c>
      <c r="B5" s="85">
        <f>B3/B4</f>
        <v>6.2181320731252328E-3</v>
      </c>
      <c r="C5" s="85">
        <f t="shared" ref="C5:E5" si="0">C3/C4</f>
        <v>4.8435706084959812E-3</v>
      </c>
      <c r="D5" s="85">
        <f t="shared" si="0"/>
        <v>1.2136944015714886E-2</v>
      </c>
      <c r="E5" s="85">
        <f t="shared" si="0"/>
        <v>1.1909130333255497E-2</v>
      </c>
      <c r="F5" s="4" t="str">
        <f ca="1">"&lt;--"&amp;_xlfn.FORMULATEXT(E5)</f>
        <v>&lt;--=E3/E4</v>
      </c>
    </row>
    <row r="7" spans="1:6" x14ac:dyDescent="0.35">
      <c r="A7" s="4" t="s">
        <v>249</v>
      </c>
      <c r="B7" s="86">
        <f>AVERAGE(B5:E5)</f>
        <v>8.7769442576478996E-3</v>
      </c>
      <c r="C7" s="4" t="str">
        <f ca="1">"&lt;--"&amp;_xlfn.FORMULATEXT(B7)</f>
        <v>&lt;--=AVERAGE(B5:E5)</v>
      </c>
      <c r="E7" s="83"/>
    </row>
  </sheetData>
  <mergeCells count="1">
    <mergeCell ref="A1:F1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3B422-EF18-4651-9B7F-902A0663233F}">
  <sheetPr codeName="Sheet11"/>
  <dimension ref="A1:F9"/>
  <sheetViews>
    <sheetView workbookViewId="0">
      <selection activeCell="A2" sqref="A2"/>
    </sheetView>
  </sheetViews>
  <sheetFormatPr defaultRowHeight="14.5" x14ac:dyDescent="0.35"/>
  <cols>
    <col min="1" max="1" width="19.08984375" customWidth="1"/>
    <col min="2" max="5" width="8.26953125" customWidth="1"/>
  </cols>
  <sheetData>
    <row r="1" spans="1:6" ht="18.5" x14ac:dyDescent="0.45">
      <c r="A1" s="91" t="s">
        <v>233</v>
      </c>
      <c r="B1" s="91"/>
      <c r="C1" s="91"/>
      <c r="D1" s="91"/>
      <c r="E1" s="91"/>
      <c r="F1" s="91"/>
    </row>
    <row r="2" spans="1:6" x14ac:dyDescent="0.35">
      <c r="B2" s="4">
        <f>'GOOGL Balance Sheet'!B2</f>
        <v>2019</v>
      </c>
      <c r="C2" s="4">
        <f>'GOOGL Balance Sheet'!C2</f>
        <v>2020</v>
      </c>
      <c r="D2" s="4">
        <f>'GOOGL Balance Sheet'!D2</f>
        <v>2021</v>
      </c>
      <c r="E2" s="4">
        <f>'GOOGL Balance Sheet'!E2</f>
        <v>2022</v>
      </c>
    </row>
    <row r="3" spans="1:6" x14ac:dyDescent="0.35">
      <c r="A3" t="str">
        <f>'GOOGL Income Statement'!A14</f>
        <v>Income before taxes</v>
      </c>
      <c r="B3" s="2">
        <f>'GOOGL Income Statement'!B14</f>
        <v>39625</v>
      </c>
      <c r="C3" s="2">
        <f>'GOOGL Income Statement'!C14</f>
        <v>48082</v>
      </c>
      <c r="D3" s="2">
        <f>'GOOGL Income Statement'!D14</f>
        <v>90734</v>
      </c>
      <c r="E3" s="2">
        <f>'GOOGL Income Statement'!E14</f>
        <v>71328</v>
      </c>
    </row>
    <row r="4" spans="1:6" x14ac:dyDescent="0.35">
      <c r="A4" t="str">
        <f>'GOOGL Income Statement'!A15</f>
        <v>Taxes on income</v>
      </c>
      <c r="B4" s="2">
        <f>'GOOGL Income Statement'!B15</f>
        <v>5282</v>
      </c>
      <c r="C4" s="2">
        <f>'GOOGL Income Statement'!C15</f>
        <v>7813</v>
      </c>
      <c r="D4" s="2">
        <f>'GOOGL Income Statement'!D15</f>
        <v>14701</v>
      </c>
      <c r="E4" s="2">
        <f>'GOOGL Income Statement'!E15</f>
        <v>11356</v>
      </c>
    </row>
    <row r="5" spans="1:6" x14ac:dyDescent="0.35">
      <c r="A5" t="s">
        <v>83</v>
      </c>
      <c r="B5" s="17">
        <f>B4/B3</f>
        <v>0.13329968454258675</v>
      </c>
      <c r="C5" s="17">
        <f t="shared" ref="C5:E5" si="0">C4/C3</f>
        <v>0.16249324071378063</v>
      </c>
      <c r="D5" s="17">
        <f t="shared" si="0"/>
        <v>0.16202305640663919</v>
      </c>
      <c r="E5" s="17">
        <f t="shared" si="0"/>
        <v>0.1592081650964558</v>
      </c>
      <c r="F5" t="str">
        <f ca="1">"&lt;--"&amp;_xlfn.FORMULATEXT(E5)</f>
        <v>&lt;--=E4/E3</v>
      </c>
    </row>
    <row r="7" spans="1:6" x14ac:dyDescent="0.35">
      <c r="A7" t="s">
        <v>84</v>
      </c>
    </row>
    <row r="8" spans="1:6" x14ac:dyDescent="0.35">
      <c r="A8" s="3" t="s">
        <v>85</v>
      </c>
      <c r="B8" s="17">
        <f>AVERAGE(B5:E5)</f>
        <v>0.15425603668986559</v>
      </c>
      <c r="C8" t="str">
        <f ca="1">"&lt;--"&amp;_xlfn.FORMULATEXT(B8)</f>
        <v>&lt;--=AVERAGE(B5:E5)</v>
      </c>
    </row>
    <row r="9" spans="1:6" x14ac:dyDescent="0.35">
      <c r="A9" s="3" t="s">
        <v>86</v>
      </c>
      <c r="B9" s="17">
        <f>SUM(B4:E4)/SUM(B3:E3)</f>
        <v>0.1567528396238124</v>
      </c>
      <c r="C9" t="str">
        <f ca="1">"&lt;--"&amp;_xlfn.FORMULATEXT(B9)</f>
        <v>&lt;--=SUM(B4:E4)/SUM(B3:E3)</v>
      </c>
    </row>
  </sheetData>
  <mergeCells count="1">
    <mergeCell ref="A1:F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A7D85-C52C-424F-9848-766D55427038}">
  <dimension ref="A1:M4"/>
  <sheetViews>
    <sheetView workbookViewId="0">
      <selection activeCell="A4" sqref="A4:M4"/>
    </sheetView>
  </sheetViews>
  <sheetFormatPr defaultRowHeight="14.5" x14ac:dyDescent="0.35"/>
  <cols>
    <col min="1" max="1" width="9.1796875" bestFit="1" customWidth="1"/>
    <col min="2" max="13" width="6.26953125" customWidth="1"/>
  </cols>
  <sheetData>
    <row r="1" spans="1:13" ht="18" x14ac:dyDescent="0.4">
      <c r="A1" s="93" t="s">
        <v>201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</row>
    <row r="2" spans="1:13" x14ac:dyDescent="0.35">
      <c r="A2" t="s">
        <v>158</v>
      </c>
      <c r="B2" s="75" t="s">
        <v>202</v>
      </c>
    </row>
    <row r="3" spans="1:13" x14ac:dyDescent="0.35">
      <c r="A3" s="76" t="s">
        <v>188</v>
      </c>
      <c r="B3" s="76" t="s">
        <v>189</v>
      </c>
      <c r="C3" s="76" t="s">
        <v>190</v>
      </c>
      <c r="D3" s="76" t="s">
        <v>191</v>
      </c>
      <c r="E3" s="76" t="s">
        <v>192</v>
      </c>
      <c r="F3" s="76" t="s">
        <v>193</v>
      </c>
      <c r="G3" s="76" t="s">
        <v>194</v>
      </c>
      <c r="H3" s="76" t="s">
        <v>195</v>
      </c>
      <c r="I3" s="76" t="s">
        <v>196</v>
      </c>
      <c r="J3" s="76" t="s">
        <v>197</v>
      </c>
      <c r="K3" s="76" t="s">
        <v>198</v>
      </c>
      <c r="L3" s="76" t="s">
        <v>199</v>
      </c>
      <c r="M3" s="76" t="s">
        <v>200</v>
      </c>
    </row>
    <row r="4" spans="1:13" x14ac:dyDescent="0.35">
      <c r="A4" s="67">
        <v>44925</v>
      </c>
      <c r="B4" s="14">
        <v>4.1200000000000001E-2</v>
      </c>
      <c r="C4" s="14">
        <v>4.41E-2</v>
      </c>
      <c r="D4" s="14">
        <v>4.4200000000000003E-2</v>
      </c>
      <c r="E4" s="14">
        <v>4.7600000000000003E-2</v>
      </c>
      <c r="F4" s="14">
        <v>4.7300000000000002E-2</v>
      </c>
      <c r="G4" s="14">
        <v>4.41E-2</v>
      </c>
      <c r="H4" s="14">
        <v>4.2200000000000001E-2</v>
      </c>
      <c r="I4" s="14">
        <v>3.9899999999999998E-2</v>
      </c>
      <c r="J4" s="14">
        <v>3.9600000000000003E-2</v>
      </c>
      <c r="K4" s="78">
        <v>3.8800000000000001E-2</v>
      </c>
      <c r="L4" s="14">
        <v>4.1399999999999999E-2</v>
      </c>
      <c r="M4" s="14">
        <v>3.9699999999999999E-2</v>
      </c>
    </row>
  </sheetData>
  <mergeCells count="1">
    <mergeCell ref="A1:M1"/>
  </mergeCells>
  <hyperlinks>
    <hyperlink ref="B2" r:id="rId1" xr:uid="{9B3105A5-AB20-48BA-B76E-238CF65A183C}"/>
  </hyperlink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8B9B9-410D-4FC0-A19A-6315EF615AA9}">
  <sheetPr codeName="Sheet12"/>
  <dimension ref="A1:F5"/>
  <sheetViews>
    <sheetView topLeftCell="A2" workbookViewId="0">
      <selection activeCell="E15" sqref="E15"/>
    </sheetView>
  </sheetViews>
  <sheetFormatPr defaultRowHeight="14.5" x14ac:dyDescent="0.35"/>
  <cols>
    <col min="1" max="1" width="22.08984375" bestFit="1" customWidth="1"/>
    <col min="2" max="5" width="7.90625" bestFit="1" customWidth="1"/>
    <col min="6" max="6" width="13.6328125" bestFit="1" customWidth="1"/>
  </cols>
  <sheetData>
    <row r="1" spans="1:6" ht="18.5" x14ac:dyDescent="0.45">
      <c r="A1" s="91" t="s">
        <v>234</v>
      </c>
      <c r="B1" s="91"/>
      <c r="C1" s="91"/>
      <c r="D1" s="91"/>
      <c r="E1" s="91"/>
      <c r="F1" s="91"/>
    </row>
    <row r="2" spans="1:6" x14ac:dyDescent="0.35">
      <c r="B2" s="4">
        <f>'GOOGL Balance Sheet'!B2</f>
        <v>2019</v>
      </c>
      <c r="C2" s="4">
        <f>'GOOGL Balance Sheet'!C2</f>
        <v>2020</v>
      </c>
      <c r="D2" s="4">
        <f>'GOOGL Balance Sheet'!D2</f>
        <v>2021</v>
      </c>
      <c r="E2" s="4">
        <f>'GOOGL Balance Sheet'!E2</f>
        <v>2022</v>
      </c>
    </row>
    <row r="3" spans="1:6" x14ac:dyDescent="0.35">
      <c r="A3" t="str">
        <f>'GOOGL Balance Sheet'!A5</f>
        <v>Cash and cash equivalents</v>
      </c>
      <c r="B3" s="2">
        <f>'GOOGL Balance Sheet'!B5</f>
        <v>18498</v>
      </c>
      <c r="C3" s="2">
        <f>'GOOGL Balance Sheet'!C5</f>
        <v>26465</v>
      </c>
      <c r="D3" s="2">
        <f>'GOOGL Balance Sheet'!D5</f>
        <v>20945</v>
      </c>
      <c r="E3" s="2">
        <f>'GOOGL Balance Sheet'!E5</f>
        <v>21879</v>
      </c>
    </row>
    <row r="4" spans="1:6" x14ac:dyDescent="0.35">
      <c r="A4" t="str">
        <f>'GOOGL Balance Sheet'!A6</f>
        <v>Short-term investments</v>
      </c>
      <c r="B4" s="2">
        <f>'GOOGL Balance Sheet'!B6</f>
        <v>101177</v>
      </c>
      <c r="C4" s="2">
        <f>'GOOGL Balance Sheet'!C6</f>
        <v>110229</v>
      </c>
      <c r="D4" s="2">
        <f>'GOOGL Balance Sheet'!D6</f>
        <v>118704</v>
      </c>
      <c r="E4" s="2">
        <f>'GOOGL Balance Sheet'!E6</f>
        <v>91883</v>
      </c>
    </row>
    <row r="5" spans="1:6" x14ac:dyDescent="0.35">
      <c r="A5" s="4" t="s">
        <v>203</v>
      </c>
      <c r="B5" s="5">
        <f>SUM(B3:B4)</f>
        <v>119675</v>
      </c>
      <c r="C5" s="5">
        <f t="shared" ref="C5:E5" si="0">SUM(C3:C4)</f>
        <v>136694</v>
      </c>
      <c r="D5" s="5">
        <f t="shared" si="0"/>
        <v>139649</v>
      </c>
      <c r="E5" s="5">
        <f t="shared" si="0"/>
        <v>113762</v>
      </c>
      <c r="F5" s="4" t="str">
        <f ca="1">"&lt;--"&amp;_xlfn.FORMULATEXT(E5)</f>
        <v>&lt;--=SUM(E3:E4)</v>
      </c>
    </row>
  </sheetData>
  <mergeCells count="1">
    <mergeCell ref="A1:F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AA356-F5C2-46EB-BC22-ADC434F6E79A}">
  <sheetPr codeName="Sheet21"/>
  <dimension ref="A1:L119"/>
  <sheetViews>
    <sheetView topLeftCell="A65" zoomScale="69" workbookViewId="0">
      <selection activeCell="B67" sqref="B67"/>
    </sheetView>
  </sheetViews>
  <sheetFormatPr defaultColWidth="8.7265625" defaultRowHeight="12.5" x14ac:dyDescent="0.25"/>
  <cols>
    <col min="1" max="1" width="49.6328125" style="21" customWidth="1"/>
    <col min="2" max="2" width="15.26953125" style="21" customWidth="1"/>
    <col min="3" max="3" width="15.08984375" style="21" customWidth="1"/>
    <col min="4" max="4" width="11.54296875" style="21" customWidth="1"/>
    <col min="5" max="5" width="12.6328125" style="21" customWidth="1"/>
    <col min="6" max="7" width="11.90625" style="21" customWidth="1"/>
    <col min="8" max="8" width="30.08984375" style="21" customWidth="1"/>
    <col min="9" max="16384" width="8.7265625" style="21"/>
  </cols>
  <sheetData>
    <row r="1" spans="1:8" ht="18" x14ac:dyDescent="0.4">
      <c r="A1" s="94" t="s">
        <v>235</v>
      </c>
      <c r="B1" s="94"/>
      <c r="C1" s="94"/>
      <c r="D1" s="94"/>
      <c r="E1" s="94"/>
      <c r="F1" s="94"/>
      <c r="G1" s="94"/>
      <c r="H1" s="94"/>
    </row>
    <row r="2" spans="1:8" s="22" customFormat="1" ht="14" x14ac:dyDescent="0.3">
      <c r="B2" s="23" t="s">
        <v>87</v>
      </c>
      <c r="C2" s="23" t="s">
        <v>88</v>
      </c>
      <c r="D2" s="23" t="s">
        <v>89</v>
      </c>
      <c r="E2" s="23" t="s">
        <v>90</v>
      </c>
      <c r="F2" s="23" t="s">
        <v>91</v>
      </c>
      <c r="G2" s="23" t="s">
        <v>92</v>
      </c>
    </row>
    <row r="3" spans="1:8" s="22" customFormat="1" ht="14" x14ac:dyDescent="0.3">
      <c r="A3" s="22" t="s">
        <v>93</v>
      </c>
      <c r="B3" s="24"/>
      <c r="C3" s="57">
        <f>'YoY sales growth'!B14</f>
        <v>0.19830092515437237</v>
      </c>
      <c r="D3" s="57">
        <f>C3</f>
        <v>0.19830092515437237</v>
      </c>
      <c r="E3" s="57">
        <f t="shared" ref="E3:G13" si="0">D3</f>
        <v>0.19830092515437237</v>
      </c>
      <c r="F3" s="57">
        <f t="shared" si="0"/>
        <v>0.19830092515437237</v>
      </c>
      <c r="G3" s="57">
        <f t="shared" si="0"/>
        <v>0.19830092515437237</v>
      </c>
    </row>
    <row r="4" spans="1:8" s="22" customFormat="1" ht="14" x14ac:dyDescent="0.3">
      <c r="A4" s="22" t="s">
        <v>138</v>
      </c>
      <c r="B4" s="55"/>
      <c r="C4" s="55">
        <f>'Operating costs analysis'!B12</f>
        <v>7727.3287145002978</v>
      </c>
      <c r="D4" s="55">
        <f t="shared" ref="D4" si="1">C4</f>
        <v>7727.3287145002978</v>
      </c>
      <c r="E4" s="55">
        <f t="shared" si="0"/>
        <v>7727.3287145002978</v>
      </c>
      <c r="F4" s="55">
        <f t="shared" si="0"/>
        <v>7727.3287145002978</v>
      </c>
      <c r="G4" s="55">
        <f t="shared" si="0"/>
        <v>7727.3287145002978</v>
      </c>
      <c r="H4" s="22" t="str">
        <f t="shared" ref="H4:H10" ca="1" si="2">"&lt;--"&amp;_xlfn.FORMULATEXT(G4)</f>
        <v>&lt;--=F4</v>
      </c>
    </row>
    <row r="5" spans="1:8" s="22" customFormat="1" ht="14" x14ac:dyDescent="0.3">
      <c r="A5" s="22" t="s">
        <v>139</v>
      </c>
      <c r="B5" s="54"/>
      <c r="C5" s="59">
        <f>'Operating costs analysis'!B13</f>
        <v>0.63006416307041568</v>
      </c>
      <c r="D5" s="59">
        <f t="shared" ref="D5:G6" si="3">C5</f>
        <v>0.63006416307041568</v>
      </c>
      <c r="E5" s="59">
        <f t="shared" si="3"/>
        <v>0.63006416307041568</v>
      </c>
      <c r="F5" s="59">
        <f t="shared" si="3"/>
        <v>0.63006416307041568</v>
      </c>
      <c r="G5" s="59">
        <f t="shared" si="3"/>
        <v>0.63006416307041568</v>
      </c>
      <c r="H5" s="22" t="str">
        <f t="shared" ca="1" si="2"/>
        <v>&lt;--=F5</v>
      </c>
    </row>
    <row r="6" spans="1:8" s="22" customFormat="1" ht="14" x14ac:dyDescent="0.3">
      <c r="A6" s="22" t="s">
        <v>94</v>
      </c>
      <c r="B6" s="24"/>
      <c r="C6" s="56">
        <f>'Interest Rate on Debt Analysis'!B7</f>
        <v>8.7769442576478996E-3</v>
      </c>
      <c r="D6" s="56">
        <f>C6</f>
        <v>8.7769442576478996E-3</v>
      </c>
      <c r="E6" s="56">
        <f t="shared" si="3"/>
        <v>8.7769442576478996E-3</v>
      </c>
      <c r="F6" s="56">
        <f t="shared" si="3"/>
        <v>8.7769442576478996E-3</v>
      </c>
      <c r="G6" s="56">
        <f t="shared" si="3"/>
        <v>8.7769442576478996E-3</v>
      </c>
      <c r="H6" s="22" t="str">
        <f t="shared" ca="1" si="2"/>
        <v>&lt;--=F6</v>
      </c>
    </row>
    <row r="7" spans="1:8" s="22" customFormat="1" ht="14" x14ac:dyDescent="0.3">
      <c r="A7" s="22" t="s">
        <v>95</v>
      </c>
      <c r="B7" s="24"/>
      <c r="C7" s="56">
        <f>AVERAGE('NWC analysis'!$B$10:$E$10)</f>
        <v>0.19448787821282229</v>
      </c>
      <c r="D7" s="56">
        <f>C7</f>
        <v>0.19448787821282229</v>
      </c>
      <c r="E7" s="56">
        <f t="shared" ref="E7:G7" si="4">D7</f>
        <v>0.19448787821282229</v>
      </c>
      <c r="F7" s="56">
        <f t="shared" si="4"/>
        <v>0.19448787821282229</v>
      </c>
      <c r="G7" s="56">
        <f t="shared" si="4"/>
        <v>0.19448787821282229</v>
      </c>
      <c r="H7" s="22" t="str">
        <f t="shared" ca="1" si="2"/>
        <v>&lt;--=F7</v>
      </c>
    </row>
    <row r="8" spans="1:8" s="22" customFormat="1" ht="14" x14ac:dyDescent="0.3">
      <c r="A8" s="22" t="s">
        <v>96</v>
      </c>
      <c r="B8" s="24"/>
      <c r="C8" s="57">
        <f>AVERAGE('NWC analysis'!$B$16:$E$16)</f>
        <v>2.90922730810457E-2</v>
      </c>
      <c r="D8" s="56">
        <f>C8</f>
        <v>2.90922730810457E-2</v>
      </c>
      <c r="E8" s="56">
        <f t="shared" ref="E8:G8" si="5">D8</f>
        <v>2.90922730810457E-2</v>
      </c>
      <c r="F8" s="56">
        <f t="shared" si="5"/>
        <v>2.90922730810457E-2</v>
      </c>
      <c r="G8" s="56">
        <f t="shared" si="5"/>
        <v>2.90922730810457E-2</v>
      </c>
      <c r="H8" s="22" t="str">
        <f t="shared" ca="1" si="2"/>
        <v>&lt;--=F8</v>
      </c>
    </row>
    <row r="9" spans="1:8" s="22" customFormat="1" ht="14" x14ac:dyDescent="0.3">
      <c r="A9" s="22" t="s">
        <v>97</v>
      </c>
      <c r="B9" s="24"/>
      <c r="C9" s="57">
        <f>'Fixed asset analysis'!$B$14</f>
        <v>0.4830330551942863</v>
      </c>
      <c r="D9" s="56">
        <f>C9</f>
        <v>0.4830330551942863</v>
      </c>
      <c r="E9" s="56">
        <f t="shared" ref="E9:G9" si="6">D9</f>
        <v>0.4830330551942863</v>
      </c>
      <c r="F9" s="56">
        <f t="shared" si="6"/>
        <v>0.4830330551942863</v>
      </c>
      <c r="G9" s="56">
        <f t="shared" si="6"/>
        <v>0.4830330551942863</v>
      </c>
      <c r="H9" s="22" t="str">
        <f t="shared" ca="1" si="2"/>
        <v>&lt;--=F9</v>
      </c>
    </row>
    <row r="10" spans="1:8" s="22" customFormat="1" ht="14" x14ac:dyDescent="0.3">
      <c r="A10" s="22" t="s">
        <v>142</v>
      </c>
      <c r="B10" s="24"/>
      <c r="C10" s="55">
        <f>'Depreciation analysis'!B10</f>
        <v>11</v>
      </c>
      <c r="D10" s="55">
        <f>C10</f>
        <v>11</v>
      </c>
      <c r="E10" s="55">
        <f t="shared" ref="E10:G10" si="7">D10</f>
        <v>11</v>
      </c>
      <c r="F10" s="55">
        <f t="shared" si="7"/>
        <v>11</v>
      </c>
      <c r="G10" s="55">
        <f t="shared" si="7"/>
        <v>11</v>
      </c>
      <c r="H10" s="22" t="str">
        <f t="shared" ca="1" si="2"/>
        <v>&lt;--=F10</v>
      </c>
    </row>
    <row r="11" spans="1:8" s="22" customFormat="1" ht="14" x14ac:dyDescent="0.3">
      <c r="A11" s="22" t="s">
        <v>101</v>
      </c>
      <c r="B11" s="24"/>
      <c r="C11" s="24">
        <v>0.01</v>
      </c>
      <c r="D11" s="24">
        <v>0.01</v>
      </c>
      <c r="E11" s="24">
        <v>0.01</v>
      </c>
      <c r="F11" s="24">
        <v>0.01</v>
      </c>
      <c r="G11" s="24">
        <v>0.01</v>
      </c>
    </row>
    <row r="12" spans="1:8" s="22" customFormat="1" ht="14" x14ac:dyDescent="0.3">
      <c r="A12" s="22" t="s">
        <v>98</v>
      </c>
      <c r="B12" s="24"/>
      <c r="C12" s="24">
        <v>0.157</v>
      </c>
      <c r="D12" s="24">
        <f t="shared" ref="D12:D13" si="8">C12</f>
        <v>0.157</v>
      </c>
      <c r="E12" s="24">
        <f t="shared" ref="E12:F13" si="9">D12</f>
        <v>0.157</v>
      </c>
      <c r="F12" s="24">
        <f t="shared" si="9"/>
        <v>0.157</v>
      </c>
      <c r="G12" s="24">
        <f t="shared" si="0"/>
        <v>0.157</v>
      </c>
      <c r="H12" s="22" t="str">
        <f ca="1">"&lt;--"&amp;_xlfn.FORMULATEXT(G12)</f>
        <v>&lt;--=F12</v>
      </c>
    </row>
    <row r="13" spans="1:8" s="22" customFormat="1" ht="14" x14ac:dyDescent="0.3">
      <c r="A13" s="22" t="s">
        <v>143</v>
      </c>
      <c r="B13" s="24"/>
      <c r="C13" s="57">
        <f>'Dividend analysis'!B7</f>
        <v>0</v>
      </c>
      <c r="D13" s="57">
        <f t="shared" si="8"/>
        <v>0</v>
      </c>
      <c r="E13" s="57">
        <f t="shared" si="9"/>
        <v>0</v>
      </c>
      <c r="F13" s="57">
        <f t="shared" si="9"/>
        <v>0</v>
      </c>
      <c r="G13" s="57">
        <f t="shared" si="0"/>
        <v>0</v>
      </c>
      <c r="H13" s="22" t="str">
        <f ca="1">"&lt;--"&amp;_xlfn.FORMULATEXT(G13)</f>
        <v>&lt;--=F13</v>
      </c>
    </row>
    <row r="14" spans="1:8" s="22" customFormat="1" ht="14" x14ac:dyDescent="0.3"/>
    <row r="15" spans="1:8" s="25" customFormat="1" ht="14" x14ac:dyDescent="0.3">
      <c r="A15" s="25" t="s">
        <v>58</v>
      </c>
      <c r="B15" s="23">
        <v>0</v>
      </c>
      <c r="C15" s="23">
        <v>1</v>
      </c>
      <c r="D15" s="23">
        <v>2</v>
      </c>
      <c r="E15" s="23">
        <v>3</v>
      </c>
      <c r="F15" s="23">
        <v>4</v>
      </c>
      <c r="G15" s="23">
        <v>5</v>
      </c>
    </row>
    <row r="16" spans="1:8" s="22" customFormat="1" ht="14" x14ac:dyDescent="0.3">
      <c r="A16" s="25" t="s">
        <v>99</v>
      </c>
    </row>
    <row r="17" spans="1:8" s="22" customFormat="1" ht="14" x14ac:dyDescent="0.3">
      <c r="A17" s="22" t="s">
        <v>0</v>
      </c>
      <c r="B17" s="26">
        <f>'GOOGL Income Statement'!E3</f>
        <v>282836</v>
      </c>
      <c r="C17" s="26">
        <f>B17*(1+C3)</f>
        <v>338922.64046696207</v>
      </c>
      <c r="D17" s="26">
        <f>C17*(1+D3)</f>
        <v>406131.31362732337</v>
      </c>
      <c r="E17" s="26">
        <f>D17*(1+E3)</f>
        <v>486667.52885378216</v>
      </c>
      <c r="F17" s="26">
        <f>E17*(1+F3)</f>
        <v>583174.15006807935</v>
      </c>
      <c r="G17" s="26">
        <f>F17*(1+G3)</f>
        <v>698818.12355269422</v>
      </c>
      <c r="H17" s="22" t="str">
        <f t="shared" ref="H17:H29" ca="1" si="10">"&lt;--"&amp;_xlfn.FORMULATEXT(G17)</f>
        <v>&lt;--=F17*(1+G3)</v>
      </c>
    </row>
    <row r="18" spans="1:8" s="22" customFormat="1" ht="14" x14ac:dyDescent="0.3">
      <c r="A18" s="22" t="s">
        <v>140</v>
      </c>
      <c r="B18" s="26">
        <f>-'Operating costs analysis'!E9</f>
        <v>-197396</v>
      </c>
      <c r="C18" s="26">
        <f>-(C4+C5*C17)</f>
        <v>-221270.33852593217</v>
      </c>
      <c r="D18" s="26">
        <f>-(D4+D5*D17)</f>
        <v>-263616.1149317883</v>
      </c>
      <c r="E18" s="26">
        <f>-(E4+E5*E17)</f>
        <v>-314359.09797530592</v>
      </c>
      <c r="F18" s="26">
        <f>-(F4+F5*F17)</f>
        <v>-375164.46150144574</v>
      </c>
      <c r="G18" s="26">
        <f>-(G4+G5*G17)</f>
        <v>-448027.58486916689</v>
      </c>
      <c r="H18" s="22" t="str">
        <f ca="1">"&lt;--"&amp;_xlfn.FORMULATEXT(G18)</f>
        <v>&lt;--=-(G4+G5*G17)</v>
      </c>
    </row>
    <row r="19" spans="1:8" s="22" customFormat="1" ht="14" x14ac:dyDescent="0.3">
      <c r="A19" s="25" t="s">
        <v>204</v>
      </c>
      <c r="B19" s="27">
        <f>SUM(B17:B18)</f>
        <v>85440</v>
      </c>
      <c r="C19" s="27">
        <f>SUM(C17:C18)</f>
        <v>117652.3019410299</v>
      </c>
      <c r="D19" s="27">
        <f>SUM(D17:D18)</f>
        <v>142515.19869553507</v>
      </c>
      <c r="E19" s="27">
        <f t="shared" ref="E19:G19" si="11">SUM(E17:E18)</f>
        <v>172308.43087847624</v>
      </c>
      <c r="F19" s="27">
        <f t="shared" si="11"/>
        <v>208009.68856663362</v>
      </c>
      <c r="G19" s="27">
        <f t="shared" si="11"/>
        <v>250790.53868352732</v>
      </c>
      <c r="H19" s="22" t="str">
        <f t="shared" ca="1" si="10"/>
        <v>&lt;--=SUM(G17:G18)</v>
      </c>
    </row>
    <row r="20" spans="1:8" s="28" customFormat="1" ht="14.5" x14ac:dyDescent="0.35">
      <c r="A20" s="28" t="s">
        <v>141</v>
      </c>
      <c r="B20" s="29">
        <f t="shared" ref="B20:G20" si="12">B19/B17</f>
        <v>0.30208318601592443</v>
      </c>
      <c r="C20" s="29">
        <f t="shared" si="12"/>
        <v>0.34713615407613513</v>
      </c>
      <c r="D20" s="29">
        <f t="shared" si="12"/>
        <v>0.35090916143026274</v>
      </c>
      <c r="E20" s="29">
        <f t="shared" si="12"/>
        <v>0.35405779235837576</v>
      </c>
      <c r="F20" s="29">
        <f t="shared" si="12"/>
        <v>0.35668537184364346</v>
      </c>
      <c r="G20" s="29">
        <f t="shared" si="12"/>
        <v>0.35887812612606995</v>
      </c>
      <c r="H20" s="28" t="str">
        <f t="shared" ca="1" si="10"/>
        <v>&lt;--=G19/G17</v>
      </c>
    </row>
    <row r="21" spans="1:8" s="22" customFormat="1" ht="14" x14ac:dyDescent="0.3">
      <c r="A21" s="22" t="s">
        <v>100</v>
      </c>
      <c r="B21" s="26">
        <f>-'GOOGL Income Statement'!E11</f>
        <v>-357</v>
      </c>
      <c r="C21" s="26">
        <f>-C6*AVERAGE(B44,C44)</f>
        <v>-658.63945098241368</v>
      </c>
      <c r="D21" s="26">
        <f>-D6*AVERAGE(C44,D44)</f>
        <v>-438.84721288239496</v>
      </c>
      <c r="E21" s="26">
        <f>-E6*AVERAGE(D44,E44)</f>
        <v>-438.84721288239496</v>
      </c>
      <c r="F21" s="26">
        <f>-F6*AVERAGE(E44,F44)</f>
        <v>-438.84721288239496</v>
      </c>
      <c r="G21" s="26">
        <f>-G6*AVERAGE(F44,G44)</f>
        <v>-438.84721288239496</v>
      </c>
      <c r="H21" s="22" t="str">
        <f t="shared" ca="1" si="10"/>
        <v>&lt;--=-G6*AVERAGE(F44,G44)</v>
      </c>
    </row>
    <row r="22" spans="1:8" s="22" customFormat="1" ht="14" x14ac:dyDescent="0.3">
      <c r="A22" s="22" t="s">
        <v>101</v>
      </c>
      <c r="B22" s="26">
        <f>-'GOOGL Income Statement'!E10</f>
        <v>2174</v>
      </c>
      <c r="C22" s="30">
        <f ca="1">C11*AVERAGE(B32,C32)</f>
        <v>1123.2804555000546</v>
      </c>
      <c r="D22" s="30">
        <f ca="1">D11*AVERAGE(C32,D32)</f>
        <v>1407.9525662737078</v>
      </c>
      <c r="E22" s="30">
        <f ca="1">E11*AVERAGE(D32,E32)</f>
        <v>2070.709858305574</v>
      </c>
      <c r="F22" s="30">
        <f ca="1">F11*AVERAGE(E32,F32)</f>
        <v>2875.5438523897124</v>
      </c>
      <c r="G22" s="30">
        <f ca="1">G11*AVERAGE(F32,G32)</f>
        <v>3850.1455006294991</v>
      </c>
      <c r="H22" s="22" t="str">
        <f t="shared" ca="1" si="10"/>
        <v>&lt;--=G11*AVERAGE(F32,G32)</v>
      </c>
    </row>
    <row r="23" spans="1:8" s="22" customFormat="1" ht="14" x14ac:dyDescent="0.3">
      <c r="A23" s="22" t="s">
        <v>102</v>
      </c>
      <c r="B23" s="26">
        <f>-'GOOGL Cash-flows'!E6</f>
        <v>-15929</v>
      </c>
      <c r="C23" s="26">
        <f ca="1">-B35/C10</f>
        <v>-6575.727272727273</v>
      </c>
      <c r="D23" s="26">
        <f t="shared" ref="D23:G23" ca="1" si="13">-C35/D10</f>
        <v>-20848.051433818055</v>
      </c>
      <c r="E23" s="26">
        <f t="shared" ca="1" si="13"/>
        <v>-25694.602539820018</v>
      </c>
      <c r="F23" s="26">
        <f t="shared" ca="1" si="13"/>
        <v>-31566.989506587386</v>
      </c>
      <c r="G23" s="26">
        <f t="shared" ca="1" si="13"/>
        <v>-38674.523833697123</v>
      </c>
      <c r="H23" s="22" t="str">
        <f t="shared" ca="1" si="10"/>
        <v>&lt;--=-F35/G10</v>
      </c>
    </row>
    <row r="24" spans="1:8" s="25" customFormat="1" ht="14" x14ac:dyDescent="0.3">
      <c r="A24" s="25" t="s">
        <v>103</v>
      </c>
      <c r="B24" s="27">
        <f t="shared" ref="B24:G24" si="14">B19+SUM(B21:B23)</f>
        <v>71328</v>
      </c>
      <c r="C24" s="27">
        <f ca="1">C19+SUM(C21:C23)</f>
        <v>111541.21567282027</v>
      </c>
      <c r="D24" s="27">
        <f t="shared" ca="1" si="14"/>
        <v>122636.25261510833</v>
      </c>
      <c r="E24" s="27">
        <f t="shared" ca="1" si="14"/>
        <v>148245.69098407941</v>
      </c>
      <c r="F24" s="27">
        <f t="shared" ca="1" si="14"/>
        <v>178879.39569955354</v>
      </c>
      <c r="G24" s="27">
        <f t="shared" ca="1" si="14"/>
        <v>215527.31313757732</v>
      </c>
      <c r="H24" s="25" t="str">
        <f t="shared" ca="1" si="10"/>
        <v>&lt;--=G19+SUM(G21:G23)</v>
      </c>
    </row>
    <row r="25" spans="1:8" s="22" customFormat="1" ht="14" x14ac:dyDescent="0.3">
      <c r="A25" s="22" t="s">
        <v>104</v>
      </c>
      <c r="B25" s="26">
        <f>-'GOOGL Income Statement'!E15</f>
        <v>-11356</v>
      </c>
      <c r="C25" s="26">
        <f ca="1">-C24*C12</f>
        <v>-17511.97086063278</v>
      </c>
      <c r="D25" s="26">
        <f ca="1">-D24*D12</f>
        <v>-19253.891660572008</v>
      </c>
      <c r="E25" s="26">
        <f ca="1">-E24*E12</f>
        <v>-23274.573484500466</v>
      </c>
      <c r="F25" s="26">
        <f ca="1">-F24*F12</f>
        <v>-28084.065124829907</v>
      </c>
      <c r="G25" s="26">
        <f ca="1">-G24*G12</f>
        <v>-33837.788162599638</v>
      </c>
      <c r="H25" s="22" t="str">
        <f t="shared" ca="1" si="10"/>
        <v>&lt;--=-G24*G12</v>
      </c>
    </row>
    <row r="26" spans="1:8" s="25" customFormat="1" ht="14" x14ac:dyDescent="0.3">
      <c r="A26" s="25" t="s">
        <v>105</v>
      </c>
      <c r="B26" s="27">
        <f>B25+B24</f>
        <v>59972</v>
      </c>
      <c r="C26" s="27">
        <f ca="1">C25+C24</f>
        <v>94029.244812187491</v>
      </c>
      <c r="D26" s="27">
        <f t="shared" ref="D26:F26" ca="1" si="15">D25+D24</f>
        <v>103382.36095453633</v>
      </c>
      <c r="E26" s="27">
        <f t="shared" ca="1" si="15"/>
        <v>124971.11749957895</v>
      </c>
      <c r="F26" s="27">
        <f t="shared" ca="1" si="15"/>
        <v>150795.33057472363</v>
      </c>
      <c r="G26" s="27">
        <f ca="1">G25+G24</f>
        <v>181689.52497497768</v>
      </c>
      <c r="H26" s="25" t="str">
        <f t="shared" ca="1" si="10"/>
        <v>&lt;--=G25+G24</v>
      </c>
    </row>
    <row r="27" spans="1:8" s="22" customFormat="1" ht="14.5" x14ac:dyDescent="0.35">
      <c r="A27" s="28" t="s">
        <v>106</v>
      </c>
      <c r="B27" s="31">
        <f t="shared" ref="B27:G27" si="16">B26/B17</f>
        <v>0.21203807153261961</v>
      </c>
      <c r="C27" s="31">
        <f t="shared" ca="1" si="16"/>
        <v>0.27743571418727159</v>
      </c>
      <c r="D27" s="31">
        <f t="shared" ca="1" si="16"/>
        <v>0.25455402596560844</v>
      </c>
      <c r="E27" s="31">
        <f t="shared" ca="1" si="16"/>
        <v>0.25678951253212984</v>
      </c>
      <c r="F27" s="31">
        <f t="shared" ca="1" si="16"/>
        <v>0.25857684288153016</v>
      </c>
      <c r="G27" s="31">
        <f t="shared" ca="1" si="16"/>
        <v>0.25999543923001511</v>
      </c>
      <c r="H27" s="22" t="str">
        <f t="shared" ca="1" si="10"/>
        <v>&lt;--=G26/G17</v>
      </c>
    </row>
    <row r="28" spans="1:8" s="22" customFormat="1" ht="14" x14ac:dyDescent="0.3">
      <c r="A28" s="22" t="s">
        <v>107</v>
      </c>
      <c r="B28" s="26">
        <f>-'Dividend analysis'!E4</f>
        <v>0</v>
      </c>
      <c r="C28" s="26">
        <f>B28*(1+C13)</f>
        <v>0</v>
      </c>
      <c r="D28" s="26">
        <f t="shared" ref="D28:G28" si="17">C28*(1+D13)</f>
        <v>0</v>
      </c>
      <c r="E28" s="26">
        <f t="shared" si="17"/>
        <v>0</v>
      </c>
      <c r="F28" s="26">
        <f t="shared" si="17"/>
        <v>0</v>
      </c>
      <c r="G28" s="26">
        <f t="shared" si="17"/>
        <v>0</v>
      </c>
      <c r="H28" s="22" t="str">
        <f t="shared" ca="1" si="10"/>
        <v>&lt;--=F28*(1+G13)</v>
      </c>
    </row>
    <row r="29" spans="1:8" s="25" customFormat="1" ht="14" x14ac:dyDescent="0.3">
      <c r="A29" s="25" t="s">
        <v>17</v>
      </c>
      <c r="B29" s="27">
        <f>B28+B26</f>
        <v>59972</v>
      </c>
      <c r="C29" s="27">
        <f ca="1">C28+C26</f>
        <v>94029.244812187491</v>
      </c>
      <c r="D29" s="27">
        <f t="shared" ref="D29:F29" ca="1" si="18">D28+D26</f>
        <v>103382.36095453633</v>
      </c>
      <c r="E29" s="27">
        <f t="shared" ca="1" si="18"/>
        <v>124971.11749957895</v>
      </c>
      <c r="F29" s="27">
        <f t="shared" ca="1" si="18"/>
        <v>150795.33057472363</v>
      </c>
      <c r="G29" s="27">
        <f ca="1">G28+G26</f>
        <v>181689.52497497768</v>
      </c>
      <c r="H29" s="25" t="str">
        <f t="shared" ca="1" si="10"/>
        <v>&lt;--=G28+G26</v>
      </c>
    </row>
    <row r="30" spans="1:8" s="22" customFormat="1" ht="14" x14ac:dyDescent="0.3">
      <c r="B30" s="26"/>
      <c r="C30" s="26"/>
      <c r="D30" s="26"/>
      <c r="E30" s="26"/>
      <c r="F30" s="26"/>
      <c r="G30" s="26"/>
    </row>
    <row r="31" spans="1:8" s="22" customFormat="1" ht="14" x14ac:dyDescent="0.3">
      <c r="A31" s="25" t="s">
        <v>108</v>
      </c>
      <c r="B31" s="26"/>
      <c r="C31" s="26"/>
      <c r="D31" s="26"/>
      <c r="E31" s="26"/>
      <c r="F31" s="26"/>
      <c r="G31" s="26"/>
    </row>
    <row r="32" spans="1:8" s="22" customFormat="1" ht="14" x14ac:dyDescent="0.3">
      <c r="A32" s="22" t="s">
        <v>109</v>
      </c>
      <c r="B32" s="26">
        <f>'Cash and Cash Equivalents'!E5</f>
        <v>113762</v>
      </c>
      <c r="C32" s="33">
        <f ca="1">C47-SUM(C37:C40,C33)</f>
        <v>110894.09110002359</v>
      </c>
      <c r="D32" s="33">
        <f t="shared" ref="D32:G32" ca="1" si="19">D47-SUM(D37:D40,D33)</f>
        <v>170696.42215489736</v>
      </c>
      <c r="E32" s="33">
        <f t="shared" ca="1" si="19"/>
        <v>243445.54950750794</v>
      </c>
      <c r="F32" s="33">
        <f t="shared" ca="1" si="19"/>
        <v>331663.22097676917</v>
      </c>
      <c r="G32" s="33">
        <f t="shared" ca="1" si="19"/>
        <v>438365.87917317625</v>
      </c>
      <c r="H32" s="32" t="str">
        <f ca="1">"&lt;--"&amp;_xlfn.FORMULATEXT(G32)</f>
        <v>&lt;--=G47-SUM(G37:G40,G33)</v>
      </c>
    </row>
    <row r="33" spans="1:8" s="22" customFormat="1" ht="14" x14ac:dyDescent="0.3">
      <c r="A33" s="22" t="s">
        <v>110</v>
      </c>
      <c r="B33" s="26">
        <f>'NWC analysis'!E9</f>
        <v>51033</v>
      </c>
      <c r="C33" s="26">
        <f>C17*C7</f>
        <v>65916.345222706674</v>
      </c>
      <c r="D33" s="26">
        <f>D17*D7</f>
        <v>78987.617463164395</v>
      </c>
      <c r="E33" s="26">
        <f>E17*E7</f>
        <v>94650.935081849559</v>
      </c>
      <c r="F33" s="26">
        <f>F17*F7</f>
        <v>113420.30307530677</v>
      </c>
      <c r="G33" s="26">
        <f>G17*G7</f>
        <v>135911.6541064294</v>
      </c>
      <c r="H33" s="22" t="str">
        <f ca="1">"&lt;--"&amp;_xlfn.FORMULATEXT(G33)</f>
        <v>&lt;--=G17*G7</v>
      </c>
    </row>
    <row r="34" spans="1:8" s="22" customFormat="1" ht="14" x14ac:dyDescent="0.3">
      <c r="A34" s="22" t="s">
        <v>46</v>
      </c>
      <c r="B34" s="26"/>
      <c r="C34" s="26"/>
      <c r="D34" s="26"/>
      <c r="E34" s="26"/>
      <c r="F34" s="26"/>
      <c r="G34" s="26"/>
    </row>
    <row r="35" spans="1:8" s="22" customFormat="1" ht="14" x14ac:dyDescent="0.3">
      <c r="A35" s="22" t="s">
        <v>111</v>
      </c>
      <c r="B35" s="26">
        <f ca="1">B37-B36</f>
        <v>72333</v>
      </c>
      <c r="C35" s="26">
        <f t="shared" ref="C35:G35" ca="1" si="20">C37-C36</f>
        <v>229328.5657719986</v>
      </c>
      <c r="D35" s="26">
        <f t="shared" ca="1" si="20"/>
        <v>282640.62793802022</v>
      </c>
      <c r="E35" s="26">
        <f t="shared" ca="1" si="20"/>
        <v>347236.88457246125</v>
      </c>
      <c r="F35" s="26">
        <f t="shared" ca="1" si="20"/>
        <v>425419.76217066834</v>
      </c>
      <c r="G35" s="26">
        <f t="shared" ca="1" si="20"/>
        <v>519954.14783144597</v>
      </c>
      <c r="H35" s="22" t="str">
        <f ca="1">"&lt;--"&amp;_xlfn.FORMULATEXT(G35)</f>
        <v>&lt;--=G37-G36</v>
      </c>
    </row>
    <row r="36" spans="1:8" s="22" customFormat="1" ht="14" x14ac:dyDescent="0.3">
      <c r="A36" s="22" t="s">
        <v>112</v>
      </c>
      <c r="B36" s="26">
        <f>-'GOOGL Balance Sheet'!E13</f>
        <v>-59042</v>
      </c>
      <c r="C36" s="26">
        <f ca="1">B36+C23</f>
        <v>-65617.727272727279</v>
      </c>
      <c r="D36" s="26">
        <f t="shared" ref="D36:F36" ca="1" si="21">C36+D23</f>
        <v>-86465.77870654533</v>
      </c>
      <c r="E36" s="26">
        <f t="shared" ca="1" si="21"/>
        <v>-112160.38124636534</v>
      </c>
      <c r="F36" s="26">
        <f t="shared" ca="1" si="21"/>
        <v>-143727.37075295273</v>
      </c>
      <c r="G36" s="26">
        <f ca="1">F36+G23</f>
        <v>-182401.89458664984</v>
      </c>
      <c r="H36" s="22" t="str">
        <f ca="1">"&lt;--"&amp;_xlfn.FORMULATEXT(G36)</f>
        <v>&lt;--=F36+G23</v>
      </c>
    </row>
    <row r="37" spans="1:8" s="22" customFormat="1" ht="14" x14ac:dyDescent="0.3">
      <c r="A37" s="22" t="s">
        <v>113</v>
      </c>
      <c r="B37" s="26">
        <f ca="1">SUM(B35:B36)</f>
        <v>13291</v>
      </c>
      <c r="C37" s="58">
        <f>C9*C17</f>
        <v>163710.83849927134</v>
      </c>
      <c r="D37" s="58">
        <f t="shared" ref="D37:G37" si="22">D9*D17</f>
        <v>196174.84923147489</v>
      </c>
      <c r="E37" s="58">
        <f t="shared" si="22"/>
        <v>235076.50332609587</v>
      </c>
      <c r="F37" s="58">
        <f t="shared" si="22"/>
        <v>281692.39141771558</v>
      </c>
      <c r="G37" s="58">
        <f t="shared" si="22"/>
        <v>337552.25324479613</v>
      </c>
      <c r="H37" s="22" t="str">
        <f ca="1">"&lt;--"&amp;_xlfn.FORMULATEXT(G37)</f>
        <v>&lt;--=G9*G17</v>
      </c>
    </row>
    <row r="38" spans="1:8" s="22" customFormat="1" ht="14" x14ac:dyDescent="0.3">
      <c r="A38" s="22" t="str">
        <f>'GOOGL Balance Sheet'!A11</f>
        <v>Investments</v>
      </c>
      <c r="B38" s="26">
        <f>'GOOGL Balance Sheet'!E11</f>
        <v>30492</v>
      </c>
      <c r="C38" s="58">
        <f>B38</f>
        <v>30492</v>
      </c>
      <c r="D38" s="58">
        <f t="shared" ref="D38:G38" si="23">C38</f>
        <v>30492</v>
      </c>
      <c r="E38" s="58">
        <f t="shared" si="23"/>
        <v>30492</v>
      </c>
      <c r="F38" s="58">
        <f t="shared" si="23"/>
        <v>30492</v>
      </c>
      <c r="G38" s="58">
        <f t="shared" si="23"/>
        <v>30492</v>
      </c>
      <c r="H38" s="22" t="str">
        <f t="shared" ref="H38:H40" ca="1" si="24">"&lt;--"&amp;_xlfn.FORMULATEXT(G38)</f>
        <v>&lt;--=F38</v>
      </c>
    </row>
    <row r="39" spans="1:8" s="22" customFormat="1" ht="14" x14ac:dyDescent="0.3">
      <c r="A39" s="22" t="s">
        <v>144</v>
      </c>
      <c r="B39" s="26">
        <f>SUM('GOOGL Balance Sheet'!E15:E16)</f>
        <v>31044</v>
      </c>
      <c r="C39" s="26">
        <f>B39</f>
        <v>31044</v>
      </c>
      <c r="D39" s="26">
        <f t="shared" ref="D39:G39" si="25">C39</f>
        <v>31044</v>
      </c>
      <c r="E39" s="26">
        <f t="shared" si="25"/>
        <v>31044</v>
      </c>
      <c r="F39" s="26">
        <f t="shared" si="25"/>
        <v>31044</v>
      </c>
      <c r="G39" s="26">
        <f t="shared" si="25"/>
        <v>31044</v>
      </c>
      <c r="H39" s="22" t="str">
        <f t="shared" ca="1" si="24"/>
        <v>&lt;--=F39</v>
      </c>
    </row>
    <row r="40" spans="1:8" s="22" customFormat="1" ht="14" x14ac:dyDescent="0.3">
      <c r="A40" s="22" t="s">
        <v>145</v>
      </c>
      <c r="B40" s="26">
        <f>'GOOGL Balance Sheet'!E17</f>
        <v>11884</v>
      </c>
      <c r="C40" s="26">
        <f>B40</f>
        <v>11884</v>
      </c>
      <c r="D40" s="26">
        <f t="shared" ref="D40:G40" si="26">C40</f>
        <v>11884</v>
      </c>
      <c r="E40" s="26">
        <f t="shared" si="26"/>
        <v>11884</v>
      </c>
      <c r="F40" s="26">
        <f t="shared" si="26"/>
        <v>11884</v>
      </c>
      <c r="G40" s="26">
        <f t="shared" si="26"/>
        <v>11884</v>
      </c>
      <c r="H40" s="22" t="str">
        <f t="shared" ca="1" si="24"/>
        <v>&lt;--=F40</v>
      </c>
    </row>
    <row r="41" spans="1:8" s="25" customFormat="1" ht="14" x14ac:dyDescent="0.3">
      <c r="A41" s="25" t="s">
        <v>51</v>
      </c>
      <c r="B41" s="27">
        <f ca="1">SUM(B32:B33,B37:B40)</f>
        <v>251506</v>
      </c>
      <c r="C41" s="27">
        <f ca="1">SUM(C32:C33,C37:C40)</f>
        <v>413941.27482200158</v>
      </c>
      <c r="D41" s="27">
        <f t="shared" ref="D41:G41" ca="1" si="27">SUM(D32:D33,D37:D40)</f>
        <v>519278.88884953666</v>
      </c>
      <c r="E41" s="27">
        <f t="shared" ca="1" si="27"/>
        <v>646592.98791545338</v>
      </c>
      <c r="F41" s="27">
        <f t="shared" ca="1" si="27"/>
        <v>800195.91546979151</v>
      </c>
      <c r="G41" s="27">
        <f t="shared" ca="1" si="27"/>
        <v>985249.78652440174</v>
      </c>
      <c r="H41" s="25" t="str">
        <f ca="1">"&lt;--"&amp;_xlfn.FORMULATEXT(G41)</f>
        <v>&lt;--=SUM(G32:G33,G37:G40)</v>
      </c>
    </row>
    <row r="42" spans="1:8" s="22" customFormat="1" ht="14" x14ac:dyDescent="0.3">
      <c r="B42" s="26"/>
      <c r="C42" s="26"/>
      <c r="D42" s="26"/>
      <c r="E42" s="26"/>
      <c r="F42" s="26"/>
      <c r="G42" s="26"/>
    </row>
    <row r="43" spans="1:8" s="22" customFormat="1" ht="14" x14ac:dyDescent="0.3">
      <c r="A43" s="22" t="s">
        <v>114</v>
      </c>
      <c r="B43" s="26">
        <f>'NWC analysis'!E15</f>
        <v>5128</v>
      </c>
      <c r="C43" s="26">
        <f>C17*C8</f>
        <v>9860.0300098139305</v>
      </c>
      <c r="D43" s="26">
        <f>D17*D8</f>
        <v>11815.283082809909</v>
      </c>
      <c r="E43" s="26">
        <f>E17*E8</f>
        <v>14158.264649091918</v>
      </c>
      <c r="F43" s="26">
        <f>F17*F8</f>
        <v>16965.861627587292</v>
      </c>
      <c r="G43" s="26">
        <f>G17*G8</f>
        <v>20330.207684378915</v>
      </c>
      <c r="H43" s="22" t="str">
        <f ca="1">"&lt;--"&amp;_xlfn.FORMULATEXT(G43)</f>
        <v>&lt;--=G17*G8</v>
      </c>
    </row>
    <row r="44" spans="1:8" s="22" customFormat="1" ht="14" x14ac:dyDescent="0.3">
      <c r="A44" s="22" t="s">
        <v>115</v>
      </c>
      <c r="B44" s="26">
        <f>'GOOGL Balance Sheet'!L12</f>
        <v>100084</v>
      </c>
      <c r="C44" s="26">
        <v>50000</v>
      </c>
      <c r="D44" s="26">
        <f>C44</f>
        <v>50000</v>
      </c>
      <c r="E44" s="26">
        <f t="shared" ref="E44:G44" si="28">D44</f>
        <v>50000</v>
      </c>
      <c r="F44" s="26">
        <f t="shared" si="28"/>
        <v>50000</v>
      </c>
      <c r="G44" s="26">
        <f t="shared" si="28"/>
        <v>50000</v>
      </c>
      <c r="H44" s="22" t="str">
        <f ca="1">"&lt;--"&amp;_xlfn.FORMULATEXT(G44)</f>
        <v>&lt;--=F44</v>
      </c>
    </row>
    <row r="45" spans="1:8" s="22" customFormat="1" ht="14" x14ac:dyDescent="0.3">
      <c r="A45" s="22" t="s">
        <v>159</v>
      </c>
      <c r="B45" s="26">
        <f>SUM('GOOGL Balance Sheet'!E34:E35,'GOOGL Balance Sheet'!E38,'GOOGL Balance Sheet'!E26)</f>
        <v>72092</v>
      </c>
      <c r="C45" s="26">
        <f>B45</f>
        <v>72092</v>
      </c>
      <c r="D45" s="26">
        <f t="shared" ref="D45:F45" si="29">C45</f>
        <v>72092</v>
      </c>
      <c r="E45" s="26">
        <f t="shared" si="29"/>
        <v>72092</v>
      </c>
      <c r="F45" s="26">
        <f t="shared" si="29"/>
        <v>72092</v>
      </c>
      <c r="G45" s="26">
        <f>F45</f>
        <v>72092</v>
      </c>
      <c r="H45" s="22" t="str">
        <f ca="1">"&lt;--"&amp;_xlfn.FORMULATEXT(G45)</f>
        <v>&lt;--=F45</v>
      </c>
    </row>
    <row r="46" spans="1:8" s="22" customFormat="1" ht="14" x14ac:dyDescent="0.3">
      <c r="A46" s="22" t="s">
        <v>116</v>
      </c>
      <c r="B46" s="26">
        <f>SUM('GOOGL Balance Sheet'!E36:E37)</f>
        <v>187960</v>
      </c>
      <c r="C46" s="26">
        <f ca="1">B46+C29</f>
        <v>281989.24481218751</v>
      </c>
      <c r="D46" s="26">
        <f t="shared" ref="D46:F46" ca="1" si="30">C46+D29</f>
        <v>385371.60576672386</v>
      </c>
      <c r="E46" s="26">
        <f t="shared" ca="1" si="30"/>
        <v>510342.72326630284</v>
      </c>
      <c r="F46" s="26">
        <f t="shared" ca="1" si="30"/>
        <v>661138.0538410265</v>
      </c>
      <c r="G46" s="26">
        <f ca="1">F46+G29</f>
        <v>842827.57881600421</v>
      </c>
      <c r="H46" s="22" t="str">
        <f ca="1">"&lt;--"&amp;_xlfn.FORMULATEXT(G46)</f>
        <v>&lt;--=F46+G29</v>
      </c>
    </row>
    <row r="47" spans="1:8" s="25" customFormat="1" ht="14" x14ac:dyDescent="0.3">
      <c r="A47" s="25" t="s">
        <v>117</v>
      </c>
      <c r="B47" s="27">
        <f>SUM(B43:B46)</f>
        <v>365264</v>
      </c>
      <c r="C47" s="27">
        <f ca="1">SUM(C43:C46)</f>
        <v>413941.27482200146</v>
      </c>
      <c r="D47" s="27">
        <f t="shared" ref="D47:F47" ca="1" si="31">SUM(D43:D46)</f>
        <v>519278.88884953375</v>
      </c>
      <c r="E47" s="27">
        <f t="shared" ca="1" si="31"/>
        <v>646592.98791539483</v>
      </c>
      <c r="F47" s="27">
        <f t="shared" ca="1" si="31"/>
        <v>800195.91546861385</v>
      </c>
      <c r="G47" s="27">
        <f ca="1">SUM(G43:G46)</f>
        <v>985249.78650038317</v>
      </c>
      <c r="H47" s="25" t="str">
        <f ca="1">"&lt;--"&amp;_xlfn.FORMULATEXT(G47)</f>
        <v>&lt;--=SUM(G43:G46)</v>
      </c>
    </row>
    <row r="49" spans="1:12" s="25" customFormat="1" ht="14" x14ac:dyDescent="0.3">
      <c r="A49" s="34" t="s">
        <v>58</v>
      </c>
      <c r="B49" s="35">
        <v>0</v>
      </c>
      <c r="C49" s="35">
        <v>1</v>
      </c>
      <c r="D49" s="35">
        <v>2</v>
      </c>
      <c r="E49" s="35">
        <v>3</v>
      </c>
      <c r="F49" s="35">
        <v>4</v>
      </c>
      <c r="G49" s="35">
        <v>5</v>
      </c>
      <c r="H49" s="26"/>
    </row>
    <row r="50" spans="1:12" s="22" customFormat="1" ht="14" x14ac:dyDescent="0.3">
      <c r="A50" s="34" t="s">
        <v>118</v>
      </c>
      <c r="B50" s="36"/>
      <c r="C50" s="36"/>
      <c r="D50" s="36"/>
      <c r="E50" s="36"/>
      <c r="F50" s="36"/>
      <c r="G50" s="36"/>
      <c r="H50" s="26"/>
    </row>
    <row r="51" spans="1:12" s="22" customFormat="1" ht="14" x14ac:dyDescent="0.3">
      <c r="A51" s="36" t="s">
        <v>119</v>
      </c>
      <c r="B51" s="61">
        <f>B26</f>
        <v>59972</v>
      </c>
      <c r="C51" s="61">
        <f ca="1">C26</f>
        <v>94029.244812187491</v>
      </c>
      <c r="D51" s="61">
        <f t="shared" ref="D51:G51" ca="1" si="32">D26</f>
        <v>103382.36095453633</v>
      </c>
      <c r="E51" s="61">
        <f t="shared" ca="1" si="32"/>
        <v>124971.11749957895</v>
      </c>
      <c r="F51" s="61">
        <f t="shared" ca="1" si="32"/>
        <v>150795.33057472363</v>
      </c>
      <c r="G51" s="61">
        <f t="shared" ca="1" si="32"/>
        <v>181689.52497497768</v>
      </c>
      <c r="H51" s="26" t="str">
        <f t="shared" ref="H51:H58" ca="1" si="33">"&lt;--"&amp;_xlfn.FORMULATEXT(G51)</f>
        <v>&lt;--=G26</v>
      </c>
      <c r="L51" s="55"/>
    </row>
    <row r="52" spans="1:12" s="22" customFormat="1" ht="14" x14ac:dyDescent="0.3">
      <c r="A52" s="36" t="s">
        <v>120</v>
      </c>
      <c r="B52" s="61">
        <f>-B23</f>
        <v>15929</v>
      </c>
      <c r="C52" s="61">
        <f ca="1">-C23</f>
        <v>6575.727272727273</v>
      </c>
      <c r="D52" s="61">
        <f t="shared" ref="D52:G52" ca="1" si="34">-D23</f>
        <v>20848.051433818055</v>
      </c>
      <c r="E52" s="61">
        <f t="shared" ca="1" si="34"/>
        <v>25694.602539820018</v>
      </c>
      <c r="F52" s="61">
        <f t="shared" ca="1" si="34"/>
        <v>31566.989506587386</v>
      </c>
      <c r="G52" s="61">
        <f t="shared" ca="1" si="34"/>
        <v>38674.523833697123</v>
      </c>
      <c r="H52" s="26" t="str">
        <f t="shared" ca="1" si="33"/>
        <v>&lt;--=-G23</v>
      </c>
    </row>
    <row r="53" spans="1:12" s="22" customFormat="1" ht="14" x14ac:dyDescent="0.3">
      <c r="A53" s="36" t="s">
        <v>121</v>
      </c>
      <c r="B53" s="61">
        <f>-(B33-'NWC analysis'!D9)</f>
        <v>-2539</v>
      </c>
      <c r="C53" s="61">
        <f>-(C33-B33)</f>
        <v>-14883.345222706674</v>
      </c>
      <c r="D53" s="61">
        <f t="shared" ref="D53:G53" si="35">-(D33-C33)</f>
        <v>-13071.272240457722</v>
      </c>
      <c r="E53" s="61">
        <f t="shared" si="35"/>
        <v>-15663.317618685163</v>
      </c>
      <c r="F53" s="61">
        <f t="shared" si="35"/>
        <v>-18769.367993457214</v>
      </c>
      <c r="G53" s="61">
        <f t="shared" si="35"/>
        <v>-22491.351031122627</v>
      </c>
      <c r="H53" s="26" t="str">
        <f t="shared" ca="1" si="33"/>
        <v>&lt;--=-(G33-F33)</v>
      </c>
    </row>
    <row r="54" spans="1:12" s="22" customFormat="1" ht="14" x14ac:dyDescent="0.3">
      <c r="A54" s="36" t="s">
        <v>122</v>
      </c>
      <c r="B54" s="61">
        <f>B43-'NWC analysis'!D15</f>
        <v>-909</v>
      </c>
      <c r="C54" s="61">
        <f>C43-B43</f>
        <v>4732.0300098139305</v>
      </c>
      <c r="D54" s="61">
        <f>D43-C43</f>
        <v>1955.2530729959781</v>
      </c>
      <c r="E54" s="61">
        <f>E43-D43</f>
        <v>2342.9815662820092</v>
      </c>
      <c r="F54" s="61">
        <f>F43-E43</f>
        <v>2807.5969784953741</v>
      </c>
      <c r="G54" s="61">
        <f>G43-F43</f>
        <v>3364.3460567916227</v>
      </c>
      <c r="H54" s="26" t="str">
        <f t="shared" ca="1" si="33"/>
        <v>&lt;--=G43-F43</v>
      </c>
    </row>
    <row r="55" spans="1:12" s="22" customFormat="1" ht="14" x14ac:dyDescent="0.3">
      <c r="A55" s="36" t="s">
        <v>123</v>
      </c>
      <c r="B55" s="61">
        <f ca="1">-(B35-'GOOGL Balance Sheet'!$D$12)</f>
        <v>87639</v>
      </c>
      <c r="C55" s="61">
        <f ca="1">-(C35-B35)</f>
        <v>-156995.5657719986</v>
      </c>
      <c r="D55" s="61">
        <f ca="1">-(D35-C35)</f>
        <v>-53312.062166021613</v>
      </c>
      <c r="E55" s="61">
        <f ca="1">-(E35-D35)</f>
        <v>-64596.25663444103</v>
      </c>
      <c r="F55" s="61">
        <f ca="1">-(F35-E35)</f>
        <v>-78182.877598207095</v>
      </c>
      <c r="G55" s="61">
        <f ca="1">-(G35-F35)</f>
        <v>-94534.385660777625</v>
      </c>
      <c r="H55" s="26" t="str">
        <f t="shared" ca="1" si="33"/>
        <v>&lt;--=-(G35-F35)</v>
      </c>
    </row>
    <row r="56" spans="1:12" s="22" customFormat="1" ht="14" x14ac:dyDescent="0.3">
      <c r="A56" s="36" t="s">
        <v>124</v>
      </c>
      <c r="B56" s="61">
        <f t="shared" ref="B56:G56" si="36">-B21*(1-B12)</f>
        <v>357</v>
      </c>
      <c r="C56" s="61">
        <f t="shared" si="36"/>
        <v>555.2330571781747</v>
      </c>
      <c r="D56" s="61">
        <f t="shared" si="36"/>
        <v>369.94820045985892</v>
      </c>
      <c r="E56" s="61">
        <f t="shared" si="36"/>
        <v>369.94820045985892</v>
      </c>
      <c r="F56" s="61">
        <f t="shared" si="36"/>
        <v>369.94820045985892</v>
      </c>
      <c r="G56" s="61">
        <f t="shared" si="36"/>
        <v>369.94820045985892</v>
      </c>
      <c r="H56" s="26" t="str">
        <f t="shared" ca="1" si="33"/>
        <v>&lt;--=-G21*(1-G12)</v>
      </c>
    </row>
    <row r="57" spans="1:12" s="22" customFormat="1" ht="14" x14ac:dyDescent="0.3">
      <c r="A57" s="36" t="s">
        <v>205</v>
      </c>
      <c r="B57" s="61">
        <f>-B22*(1-C12)</f>
        <v>-1832.682</v>
      </c>
      <c r="C57" s="61">
        <f ca="1">-C22*(1-C12)</f>
        <v>-946.92542398654598</v>
      </c>
      <c r="D57" s="61">
        <f ca="1">-D22*(1-D12)</f>
        <v>-1186.9040133687356</v>
      </c>
      <c r="E57" s="61">
        <f ca="1">-E22*(1-E12)</f>
        <v>-1745.6084105515988</v>
      </c>
      <c r="F57" s="61">
        <f ca="1">-F22*(1-F12)</f>
        <v>-2424.0834675645274</v>
      </c>
      <c r="G57" s="61">
        <f ca="1">-G22*(1-G12)</f>
        <v>-3245.6726570306678</v>
      </c>
      <c r="H57" s="26" t="str">
        <f t="shared" ca="1" si="33"/>
        <v>&lt;--=-G22*(1-G12)</v>
      </c>
    </row>
    <row r="58" spans="1:12" s="22" customFormat="1" ht="14" x14ac:dyDescent="0.3">
      <c r="A58" s="34" t="s">
        <v>125</v>
      </c>
      <c r="B58" s="60">
        <f t="shared" ref="B58:G58" ca="1" si="37">SUM(B51:B57)</f>
        <v>158616.318</v>
      </c>
      <c r="C58" s="60">
        <f t="shared" ca="1" si="37"/>
        <v>-66933.601266784943</v>
      </c>
      <c r="D58" s="60">
        <f t="shared" ca="1" si="37"/>
        <v>58985.375241962152</v>
      </c>
      <c r="E58" s="60">
        <f t="shared" ca="1" si="37"/>
        <v>71373.467142463036</v>
      </c>
      <c r="F58" s="60">
        <f t="shared" ca="1" si="37"/>
        <v>86163.536201037394</v>
      </c>
      <c r="G58" s="60">
        <f t="shared" ca="1" si="37"/>
        <v>103826.93371699538</v>
      </c>
      <c r="H58" s="27" t="str">
        <f t="shared" ca="1" si="33"/>
        <v>&lt;--=SUM(G51:G57)</v>
      </c>
    </row>
    <row r="59" spans="1:12" s="22" customFormat="1" ht="14" x14ac:dyDescent="0.3"/>
    <row r="60" spans="1:12" s="22" customFormat="1" ht="14" x14ac:dyDescent="0.3">
      <c r="A60" s="25" t="s">
        <v>161</v>
      </c>
    </row>
    <row r="61" spans="1:12" s="22" customFormat="1" ht="14" x14ac:dyDescent="0.3">
      <c r="A61" s="34"/>
      <c r="B61" s="35">
        <v>0</v>
      </c>
      <c r="C61" s="35">
        <v>1</v>
      </c>
      <c r="D61" s="35">
        <v>2</v>
      </c>
      <c r="E61" s="35">
        <v>3</v>
      </c>
      <c r="F61" s="35">
        <v>4</v>
      </c>
      <c r="G61" s="35">
        <v>5</v>
      </c>
    </row>
    <row r="62" spans="1:12" s="22" customFormat="1" ht="14" x14ac:dyDescent="0.3">
      <c r="A62" s="22" t="s">
        <v>162</v>
      </c>
      <c r="B62" s="32"/>
      <c r="C62" s="32">
        <f t="shared" ref="C62:G62" ca="1" si="38">C24-SUM(C21:C22)*(1-C12)</f>
        <v>111149.52330601189</v>
      </c>
      <c r="D62" s="32">
        <f t="shared" ca="1" si="38"/>
        <v>121819.29680219945</v>
      </c>
      <c r="E62" s="32">
        <f t="shared" ca="1" si="38"/>
        <v>146870.03077398767</v>
      </c>
      <c r="F62" s="32">
        <f t="shared" ca="1" si="38"/>
        <v>176825.26043244888</v>
      </c>
      <c r="G62" s="32">
        <f t="shared" ca="1" si="38"/>
        <v>212651.58868100651</v>
      </c>
      <c r="H62" s="22" t="str">
        <f ca="1">"&lt;--"&amp;_xlfn.FORMULATEXT(G62)</f>
        <v>&lt;--=G24-SUM(G21:G22)*(1-G12)</v>
      </c>
    </row>
    <row r="63" spans="1:12" s="22" customFormat="1" ht="14" x14ac:dyDescent="0.3">
      <c r="A63" s="22" t="s">
        <v>163</v>
      </c>
      <c r="B63" s="32">
        <f ca="1">B37+B38+B39+(B33-B43)</f>
        <v>120732</v>
      </c>
      <c r="C63" s="32">
        <f t="shared" ref="C63:G63" si="39">C37+C38+C39+(C33-C43)</f>
        <v>281303.15371216409</v>
      </c>
      <c r="D63" s="32">
        <f t="shared" si="39"/>
        <v>324883.18361182936</v>
      </c>
      <c r="E63" s="32">
        <f t="shared" si="39"/>
        <v>377105.17375885352</v>
      </c>
      <c r="F63" s="32">
        <f t="shared" si="39"/>
        <v>439682.83286543505</v>
      </c>
      <c r="G63" s="32">
        <f t="shared" si="39"/>
        <v>514669.6996668466</v>
      </c>
      <c r="H63" s="22" t="str">
        <f ca="1">"&lt;--"&amp;_xlfn.FORMULATEXT(G63)</f>
        <v>&lt;--=G37+G38+G39+(G33-G43)</v>
      </c>
    </row>
    <row r="64" spans="1:12" s="22" customFormat="1" ht="14" x14ac:dyDescent="0.3">
      <c r="A64" s="22" t="s">
        <v>164</v>
      </c>
      <c r="C64" s="57">
        <f ca="1">C62/B63</f>
        <v>0.92063018343116898</v>
      </c>
      <c r="D64" s="57">
        <f t="shared" ref="D64:G64" ca="1" si="40">D62/C63</f>
        <v>0.43305343432746501</v>
      </c>
      <c r="E64" s="57">
        <f t="shared" ca="1" si="40"/>
        <v>0.45207027689518114</v>
      </c>
      <c r="F64" s="57">
        <f t="shared" ca="1" si="40"/>
        <v>0.46890170895805017</v>
      </c>
      <c r="G64" s="57">
        <f t="shared" ca="1" si="40"/>
        <v>0.48364769507862171</v>
      </c>
      <c r="H64" s="22" t="str">
        <f ca="1">"&lt;--"&amp;_xlfn.FORMULATEXT(G64)</f>
        <v>&lt;--=G62/F63</v>
      </c>
    </row>
    <row r="65" spans="1:11" s="22" customFormat="1" ht="14" x14ac:dyDescent="0.3"/>
    <row r="66" spans="1:11" ht="15.5" x14ac:dyDescent="0.35">
      <c r="A66" s="95" t="s">
        <v>126</v>
      </c>
      <c r="B66" s="95"/>
      <c r="C66" s="95"/>
      <c r="D66" s="95"/>
      <c r="E66" s="95"/>
      <c r="F66" s="95"/>
      <c r="G66" s="95"/>
      <c r="H66" s="95"/>
    </row>
    <row r="67" spans="1:11" s="38" customFormat="1" ht="16.5" x14ac:dyDescent="0.4">
      <c r="A67" s="37" t="s">
        <v>127</v>
      </c>
      <c r="B67" s="68">
        <v>0.06</v>
      </c>
      <c r="C67" s="37" t="s">
        <v>128</v>
      </c>
      <c r="J67" s="39"/>
      <c r="K67" s="39"/>
    </row>
    <row r="68" spans="1:11" s="38" customFormat="1" ht="14.5" x14ac:dyDescent="0.35">
      <c r="A68" s="37" t="s">
        <v>129</v>
      </c>
      <c r="B68" s="40">
        <f>WACC!B15</f>
        <v>0.10183600000000001</v>
      </c>
      <c r="C68" s="38" t="str">
        <f ca="1">"&lt;--"&amp;_xlfn.FORMULATEXT(B68)</f>
        <v>&lt;--=WACC!B15</v>
      </c>
      <c r="J68" s="39"/>
      <c r="K68" s="39"/>
    </row>
    <row r="69" spans="1:11" s="38" customFormat="1" ht="14.5" x14ac:dyDescent="0.35">
      <c r="A69" s="37"/>
      <c r="B69" s="40"/>
      <c r="J69" s="39"/>
      <c r="K69" s="39"/>
    </row>
    <row r="70" spans="1:11" s="38" customFormat="1" ht="14" x14ac:dyDescent="0.3">
      <c r="A70" s="41" t="s">
        <v>58</v>
      </c>
      <c r="B70" s="41">
        <v>0</v>
      </c>
      <c r="C70" s="41">
        <v>1</v>
      </c>
      <c r="D70" s="41">
        <v>2</v>
      </c>
      <c r="E70" s="41">
        <v>3</v>
      </c>
      <c r="F70" s="41">
        <v>4</v>
      </c>
      <c r="G70" s="41">
        <v>5</v>
      </c>
      <c r="J70" s="39"/>
      <c r="K70" s="39"/>
    </row>
    <row r="71" spans="1:11" s="38" customFormat="1" ht="14" x14ac:dyDescent="0.3">
      <c r="A71" s="37" t="s">
        <v>206</v>
      </c>
      <c r="B71" s="42"/>
      <c r="C71" s="42">
        <f ca="1">C58</f>
        <v>-66933.601266784943</v>
      </c>
      <c r="D71" s="42">
        <f t="shared" ref="D71:G71" ca="1" si="41">D58</f>
        <v>58985.375241962152</v>
      </c>
      <c r="E71" s="42">
        <f t="shared" ca="1" si="41"/>
        <v>71373.467142463036</v>
      </c>
      <c r="F71" s="42">
        <f t="shared" ca="1" si="41"/>
        <v>86163.536201037394</v>
      </c>
      <c r="G71" s="42">
        <f t="shared" ca="1" si="41"/>
        <v>103826.93371699538</v>
      </c>
      <c r="H71" s="38" t="str">
        <f ca="1">"&lt;--"&amp;_xlfn.FORMULATEXT(G71)</f>
        <v>&lt;--=G58</v>
      </c>
      <c r="J71" s="39"/>
      <c r="K71" s="39"/>
    </row>
    <row r="72" spans="1:11" s="38" customFormat="1" ht="14" x14ac:dyDescent="0.3">
      <c r="A72" s="37" t="s">
        <v>130</v>
      </c>
      <c r="B72" s="42"/>
      <c r="C72" s="43">
        <v>0.5</v>
      </c>
      <c r="D72" s="43">
        <f>C72+1</f>
        <v>1.5</v>
      </c>
      <c r="E72" s="43">
        <f t="shared" ref="E72:G72" si="42">D72+1</f>
        <v>2.5</v>
      </c>
      <c r="F72" s="43">
        <f t="shared" si="42"/>
        <v>3.5</v>
      </c>
      <c r="G72" s="43">
        <f t="shared" si="42"/>
        <v>4.5</v>
      </c>
      <c r="J72" s="39"/>
      <c r="K72" s="39"/>
    </row>
    <row r="73" spans="1:11" s="38" customFormat="1" ht="14" x14ac:dyDescent="0.3">
      <c r="A73" s="37" t="s">
        <v>131</v>
      </c>
      <c r="B73" s="42"/>
      <c r="C73" s="43">
        <f>1/(1+$B$68)^C70</f>
        <v>0.9075760821029627</v>
      </c>
      <c r="D73" s="43">
        <f t="shared" ref="D73:G73" si="43">1/(1+$B$68)^D70</f>
        <v>0.82369434480536363</v>
      </c>
      <c r="E73" s="43">
        <f t="shared" si="43"/>
        <v>0.74756528630881869</v>
      </c>
      <c r="F73" s="43">
        <f t="shared" si="43"/>
        <v>0.67847237366433732</v>
      </c>
      <c r="G73" s="43">
        <f t="shared" si="43"/>
        <v>0.61576529870537655</v>
      </c>
      <c r="H73" s="38" t="str">
        <f ca="1">"&lt;--"&amp;_xlfn.FORMULATEXT(G73)</f>
        <v>&lt;--=1/(1+$B$68)^G70</v>
      </c>
      <c r="J73" s="39"/>
      <c r="K73" s="39"/>
    </row>
    <row r="74" spans="1:11" s="38" customFormat="1" ht="14" x14ac:dyDescent="0.3">
      <c r="A74" s="37" t="s">
        <v>132</v>
      </c>
      <c r="B74" s="42"/>
      <c r="C74" s="42">
        <f ca="1">C73*C71</f>
        <v>-60747.335598750578</v>
      </c>
      <c r="D74" s="42">
        <f t="shared" ref="D74:G74" ca="1" si="44">D73*D71</f>
        <v>48585.920013026531</v>
      </c>
      <c r="E74" s="42">
        <f t="shared" ca="1" si="44"/>
        <v>53356.326399208439</v>
      </c>
      <c r="F74" s="42">
        <f t="shared" ca="1" si="44"/>
        <v>58459.578929630901</v>
      </c>
      <c r="G74" s="42">
        <f t="shared" ca="1" si="44"/>
        <v>63933.022853908995</v>
      </c>
      <c r="H74" s="38" t="str">
        <f ca="1">"&lt;--"&amp;_xlfn.FORMULATEXT(G74)</f>
        <v>&lt;--=G73*G71</v>
      </c>
      <c r="J74" s="39"/>
      <c r="K74" s="39"/>
    </row>
    <row r="75" spans="1:11" s="38" customFormat="1" ht="14" x14ac:dyDescent="0.3">
      <c r="A75" s="37"/>
      <c r="B75" s="42"/>
      <c r="C75" s="42"/>
      <c r="D75" s="42"/>
      <c r="E75" s="42"/>
      <c r="F75" s="42"/>
      <c r="G75" s="42"/>
      <c r="J75" s="39"/>
      <c r="K75" s="39"/>
    </row>
    <row r="76" spans="1:11" s="38" customFormat="1" ht="14" x14ac:dyDescent="0.3">
      <c r="A76" s="37" t="s">
        <v>207</v>
      </c>
      <c r="B76" s="42">
        <f ca="1">SUM(C74:G74)</f>
        <v>163587.5125970243</v>
      </c>
      <c r="C76" s="42" t="str">
        <f t="shared" ref="C76:C81" ca="1" si="45">"&lt;--"&amp;_xlfn.FORMULATEXT(B76)</f>
        <v>&lt;--=SUM(C74:G74)</v>
      </c>
      <c r="D76" s="42"/>
      <c r="E76" s="42"/>
      <c r="F76" s="42"/>
      <c r="G76" s="42"/>
      <c r="J76" s="39"/>
      <c r="K76" s="39"/>
    </row>
    <row r="77" spans="1:11" s="38" customFormat="1" ht="14.5" x14ac:dyDescent="0.35">
      <c r="A77" s="37" t="s">
        <v>208</v>
      </c>
      <c r="B77">
        <f ca="1">G71*(1+B67)/(B68-B67)*G73</f>
        <v>1619872.9377842892</v>
      </c>
      <c r="C77" s="42" t="str">
        <f t="shared" ca="1" si="45"/>
        <v>&lt;--=G71*(1+B67)/(B68-B67)*G73</v>
      </c>
      <c r="D77" s="42"/>
      <c r="E77" s="42"/>
      <c r="F77" s="42"/>
      <c r="J77" s="39"/>
      <c r="K77" s="39"/>
    </row>
    <row r="78" spans="1:11" s="38" customFormat="1" ht="14" x14ac:dyDescent="0.3">
      <c r="A78" s="44" t="s">
        <v>133</v>
      </c>
      <c r="B78" s="45">
        <f ca="1">SUM(B76:B77)</f>
        <v>1783460.4503813135</v>
      </c>
      <c r="C78" s="45" t="str">
        <f t="shared" ca="1" si="45"/>
        <v>&lt;--=SUM(B76:B77)</v>
      </c>
      <c r="D78" s="42"/>
      <c r="E78" s="42"/>
      <c r="F78" s="42"/>
      <c r="J78" s="39"/>
      <c r="K78" s="39"/>
    </row>
    <row r="79" spans="1:11" s="38" customFormat="1" ht="14" x14ac:dyDescent="0.3">
      <c r="A79" s="37" t="s">
        <v>134</v>
      </c>
      <c r="B79" s="42">
        <f>SUM(B38,B40)</f>
        <v>42376</v>
      </c>
      <c r="C79" s="42" t="str">
        <f t="shared" ca="1" si="45"/>
        <v>&lt;--=SUM(B38,B40)</v>
      </c>
      <c r="D79" s="42"/>
      <c r="E79" s="42"/>
      <c r="F79" s="42"/>
      <c r="J79" s="39"/>
      <c r="K79" s="39"/>
    </row>
    <row r="80" spans="1:11" s="38" customFormat="1" ht="14" x14ac:dyDescent="0.3">
      <c r="A80" s="37" t="s">
        <v>135</v>
      </c>
      <c r="B80" s="42">
        <f>-(B44-B32)</f>
        <v>13678</v>
      </c>
      <c r="C80" s="42" t="str">
        <f t="shared" ca="1" si="45"/>
        <v>&lt;--=-(B44-B32)</v>
      </c>
      <c r="D80" s="42"/>
      <c r="E80" s="42"/>
      <c r="F80" s="42"/>
      <c r="J80" s="39"/>
      <c r="K80" s="39"/>
    </row>
    <row r="81" spans="1:11" s="38" customFormat="1" ht="14" x14ac:dyDescent="0.3">
      <c r="A81" s="44" t="s">
        <v>136</v>
      </c>
      <c r="B81" s="45">
        <f ca="1">SUM(B78:B80)</f>
        <v>1839514.4503813135</v>
      </c>
      <c r="C81" s="46" t="str">
        <f t="shared" ca="1" si="45"/>
        <v>&lt;--=SUM(B78:B80)</v>
      </c>
      <c r="D81" s="37"/>
      <c r="E81" s="37"/>
      <c r="F81" s="37"/>
      <c r="J81" s="39"/>
      <c r="K81" s="39"/>
    </row>
    <row r="82" spans="1:11" s="38" customFormat="1" ht="14" x14ac:dyDescent="0.3">
      <c r="A82" s="44" t="s">
        <v>157</v>
      </c>
      <c r="B82" s="74">
        <f ca="1">B81/WACC!B2</f>
        <v>146.22531402077215</v>
      </c>
      <c r="C82" s="46" t="str">
        <f ca="1">"&lt;--"&amp;_xlfn.FORMULATEXT(B82)</f>
        <v>&lt;--=B81/WACC!B2</v>
      </c>
      <c r="D82" s="37"/>
      <c r="E82" s="37"/>
      <c r="F82" s="37"/>
      <c r="J82" s="39"/>
      <c r="K82" s="39"/>
    </row>
    <row r="84" spans="1:11" ht="13.5" thickBot="1" x14ac:dyDescent="0.35">
      <c r="A84" s="47" t="str">
        <f>"Data table:  The effect of short-term growth rate (cell "&amp;{"C3"}&amp;"), and long-term growth rate (cell "&amp;{"B61"}&amp;") on equity valuation"</f>
        <v>Data table:  The effect of short-term growth rate (cell C3), and long-term growth rate (cell B61) on equity valuation</v>
      </c>
    </row>
    <row r="85" spans="1:11" x14ac:dyDescent="0.25">
      <c r="B85" s="48"/>
      <c r="C85" s="99" t="str">
        <f ca="1">"Data table header, "&amp;CHAR(10)&amp;_xlfn.FORMULATEXT(A87)</f>
        <v>Data table header, 
=B81</v>
      </c>
      <c r="D85" s="100"/>
    </row>
    <row r="86" spans="1:11" ht="13" thickBot="1" x14ac:dyDescent="0.3">
      <c r="A86" s="21" t="s">
        <v>209</v>
      </c>
      <c r="B86" s="48"/>
      <c r="C86" s="101"/>
      <c r="D86" s="102"/>
    </row>
    <row r="87" spans="1:11" ht="13" x14ac:dyDescent="0.3">
      <c r="A87" s="69">
        <f ca="1">B81</f>
        <v>1839514.4503813135</v>
      </c>
      <c r="B87" s="70">
        <v>0</v>
      </c>
      <c r="C87" s="70">
        <v>0.02</v>
      </c>
      <c r="D87" s="70">
        <v>0.04</v>
      </c>
      <c r="E87" s="71">
        <v>5.5E-2</v>
      </c>
      <c r="F87" s="70">
        <v>0.06</v>
      </c>
      <c r="G87" s="70">
        <v>7.0000000000000007E-2</v>
      </c>
    </row>
    <row r="88" spans="1:11" ht="13" x14ac:dyDescent="0.3">
      <c r="A88" s="70">
        <v>0</v>
      </c>
      <c r="B88" s="48">
        <f t="dataTable" ref="B88:G96" dt2D="1" dtr="1" r1="B67" r2="C3" ca="1"/>
        <v>568493.18010873138</v>
      </c>
      <c r="C88" s="48">
        <v>668740.87889785739</v>
      </c>
      <c r="D88" s="48">
        <v>833836.04439836578</v>
      </c>
      <c r="E88" s="73">
        <v>1050187.6963952207</v>
      </c>
      <c r="F88" s="48">
        <v>1156781.0669602647</v>
      </c>
      <c r="G88" s="48">
        <v>1470413.8791090522</v>
      </c>
      <c r="H88" s="21" t="str">
        <f ca="1">"&lt;--"&amp;_xlfn.FORMULATEXT(G88)</f>
        <v>&lt;--{=TABLE(B67,C3)}</v>
      </c>
    </row>
    <row r="89" spans="1:11" ht="13" x14ac:dyDescent="0.3">
      <c r="A89" s="70">
        <v>0.02</v>
      </c>
      <c r="B89" s="48">
        <v>597258.61790396157</v>
      </c>
      <c r="C89" s="48">
        <v>704384.11010445387</v>
      </c>
      <c r="D89" s="48">
        <v>880806.12355502159</v>
      </c>
      <c r="E89" s="73">
        <v>1112001.2281659085</v>
      </c>
      <c r="F89" s="48">
        <v>1225907.7559467575</v>
      </c>
      <c r="G89" s="48">
        <v>1561058.2858590488</v>
      </c>
    </row>
    <row r="90" spans="1:11" ht="13" x14ac:dyDescent="0.3">
      <c r="A90" s="70">
        <v>0.04</v>
      </c>
      <c r="B90" s="48">
        <v>626202.18575842283</v>
      </c>
      <c r="C90" s="48">
        <v>740290.40011949569</v>
      </c>
      <c r="D90" s="48">
        <v>928179.12833080045</v>
      </c>
      <c r="E90" s="73">
        <v>1174400.976298715</v>
      </c>
      <c r="F90" s="48">
        <v>1295710.9660280072</v>
      </c>
      <c r="G90" s="48">
        <v>1652644.9199770661</v>
      </c>
    </row>
    <row r="91" spans="1:11" ht="13" x14ac:dyDescent="0.3">
      <c r="A91" s="72">
        <v>4.929666159464996E-2</v>
      </c>
      <c r="B91" s="73">
        <v>639687.41823849338</v>
      </c>
      <c r="C91" s="73">
        <v>757034.59928658616</v>
      </c>
      <c r="D91" s="73">
        <v>950290.42969627574</v>
      </c>
      <c r="E91" s="73">
        <v>1203545.6842665961</v>
      </c>
      <c r="F91" s="73">
        <v>1328320.9330285103</v>
      </c>
      <c r="G91" s="73">
        <v>1695450.8206408373</v>
      </c>
    </row>
    <row r="92" spans="1:11" ht="13" x14ac:dyDescent="0.3">
      <c r="A92" s="70">
        <v>0.06</v>
      </c>
      <c r="B92" s="48">
        <v>655217.86714842636</v>
      </c>
      <c r="C92" s="48">
        <v>776330.40292891872</v>
      </c>
      <c r="D92" s="48">
        <v>975787.292018482</v>
      </c>
      <c r="E92" s="73">
        <v>1237168.8250625106</v>
      </c>
      <c r="F92" s="48">
        <v>1365947.7752275243</v>
      </c>
      <c r="G92" s="48">
        <v>1744857.8713406413</v>
      </c>
    </row>
    <row r="93" spans="1:11" ht="13" x14ac:dyDescent="0.3">
      <c r="A93" s="70">
        <v>7.0000000000000007E-2</v>
      </c>
      <c r="B93" s="48">
        <v>669717.3059495918</v>
      </c>
      <c r="C93" s="48">
        <v>794357.26267378987</v>
      </c>
      <c r="D93" s="48">
        <v>999623.36386024102</v>
      </c>
      <c r="E93" s="73">
        <v>1268617.6736330835</v>
      </c>
      <c r="F93" s="48">
        <v>1401147.3302216155</v>
      </c>
      <c r="G93" s="48">
        <v>1791093.2402593396</v>
      </c>
    </row>
    <row r="94" spans="1:11" ht="13" x14ac:dyDescent="0.3">
      <c r="A94" s="70">
        <v>0.08</v>
      </c>
      <c r="B94" s="48">
        <v>684191.15744828142</v>
      </c>
      <c r="C94" s="48">
        <v>812364.2706115999</v>
      </c>
      <c r="D94" s="48">
        <v>1023449.0295238789</v>
      </c>
      <c r="E94" s="73">
        <v>1300068.4942040171</v>
      </c>
      <c r="F94" s="48">
        <v>1436354.9557679098</v>
      </c>
      <c r="G94" s="48">
        <v>1837354.6236788582</v>
      </c>
    </row>
    <row r="95" spans="1:11" ht="13" x14ac:dyDescent="0.3">
      <c r="A95" s="70">
        <v>0.09</v>
      </c>
      <c r="B95" s="48">
        <v>698623.7423440679</v>
      </c>
      <c r="C95" s="48">
        <v>830332.25510798942</v>
      </c>
      <c r="D95" s="48">
        <v>1047239.3659467676</v>
      </c>
      <c r="E95" s="73">
        <v>1331488.8266597171</v>
      </c>
      <c r="F95" s="48">
        <v>1471534.4783524054</v>
      </c>
      <c r="G95" s="48">
        <v>1883594.9220437459</v>
      </c>
    </row>
    <row r="96" spans="1:11" ht="13" x14ac:dyDescent="0.3">
      <c r="A96" s="70">
        <v>0.1</v>
      </c>
      <c r="B96" s="48">
        <v>712998.82038727181</v>
      </c>
      <c r="C96" s="48">
        <v>848241.35027655808</v>
      </c>
      <c r="D96" s="48">
        <v>1070968.5362815615</v>
      </c>
      <c r="E96" s="73">
        <v>1362845.0094096905</v>
      </c>
      <c r="F96" s="48">
        <v>1506648.3812453586</v>
      </c>
      <c r="G96" s="48">
        <v>1929765.27553455</v>
      </c>
    </row>
    <row r="107" spans="1:10" ht="13.5" thickBot="1" x14ac:dyDescent="0.35">
      <c r="A107" s="47" t="s">
        <v>137</v>
      </c>
    </row>
    <row r="108" spans="1:10" ht="13.5" thickBot="1" x14ac:dyDescent="0.35">
      <c r="C108" s="96" t="str">
        <f ca="1">"Data table header, "&amp;_xlfn.FORMULATEXT(A109)</f>
        <v>Data table header, =IF(B68&lt;=B67,"NA",B81)</v>
      </c>
      <c r="D108" s="97"/>
      <c r="E108" s="97"/>
      <c r="F108" s="98"/>
    </row>
    <row r="109" spans="1:10" ht="14.5" x14ac:dyDescent="0.35">
      <c r="A109" s="49">
        <f ca="1">IF(B68&lt;=B67,"NA",B81)</f>
        <v>1839514.4503813135</v>
      </c>
      <c r="B109" s="50">
        <v>0.08</v>
      </c>
      <c r="C109" s="50">
        <v>0.1</v>
      </c>
      <c r="D109" s="50">
        <v>0.12</v>
      </c>
      <c r="E109" s="50">
        <v>0.16</v>
      </c>
      <c r="F109" s="50">
        <v>0.18</v>
      </c>
      <c r="G109" s="50">
        <v>0.2</v>
      </c>
      <c r="H109" s="50"/>
      <c r="I109" s="50"/>
      <c r="J109" s="50"/>
    </row>
    <row r="110" spans="1:10" ht="14.5" x14ac:dyDescent="0.35">
      <c r="A110" s="50">
        <v>0</v>
      </c>
      <c r="B110" s="51">
        <f t="dataTable" ref="B110:G118" dt2D="1" dtr="1" r1="B68" r2="B67" ca="1"/>
        <v>1118588.9235767261</v>
      </c>
      <c r="C110" s="51">
        <v>865580.24000026169</v>
      </c>
      <c r="D110" s="52">
        <v>698741.12345884286</v>
      </c>
      <c r="E110" s="51">
        <v>493893.49569072679</v>
      </c>
      <c r="F110" s="51">
        <v>427090.7059230326</v>
      </c>
      <c r="G110" s="51">
        <v>374449.08232850645</v>
      </c>
      <c r="H110" s="53"/>
      <c r="I110" s="53"/>
      <c r="J110" s="53"/>
    </row>
    <row r="111" spans="1:10" ht="14.5" x14ac:dyDescent="0.35">
      <c r="A111" s="50">
        <v>0.02</v>
      </c>
      <c r="B111" s="51">
        <v>1436571.8227696856</v>
      </c>
      <c r="C111" s="51">
        <v>1042868.2218952745</v>
      </c>
      <c r="D111" s="52">
        <v>808714.27912966069</v>
      </c>
      <c r="E111" s="51">
        <v>545092.32713012199</v>
      </c>
      <c r="F111" s="51">
        <v>464280.13463995222</v>
      </c>
      <c r="G111" s="51">
        <v>402266.22634990653</v>
      </c>
      <c r="H111" s="53"/>
      <c r="I111" s="53"/>
      <c r="J111" s="53"/>
    </row>
    <row r="112" spans="1:10" ht="14.5" x14ac:dyDescent="0.35">
      <c r="A112" s="50">
        <v>0.03</v>
      </c>
      <c r="B112" s="52">
        <v>1690958.1421240524</v>
      </c>
      <c r="C112" s="52">
        <v>1169502.4946774265</v>
      </c>
      <c r="D112" s="52">
        <v>882029.71624353912</v>
      </c>
      <c r="E112" s="52">
        <v>576599.30032359599</v>
      </c>
      <c r="F112" s="52">
        <v>486593.79187010392</v>
      </c>
      <c r="G112" s="52">
        <v>418629.25224484771</v>
      </c>
      <c r="H112" s="53"/>
      <c r="I112" s="53"/>
      <c r="J112" s="53"/>
    </row>
    <row r="113" spans="1:10" ht="14.5" x14ac:dyDescent="0.35">
      <c r="A113" s="50">
        <v>0.05</v>
      </c>
      <c r="B113" s="51">
        <v>2708503.4195415219</v>
      </c>
      <c r="C113" s="51">
        <v>1574732.167580313</v>
      </c>
      <c r="D113" s="52">
        <v>1091502.3937117634</v>
      </c>
      <c r="E113" s="51">
        <v>656798.86845243885</v>
      </c>
      <c r="F113" s="51">
        <v>541519.71735970827</v>
      </c>
      <c r="G113" s="51">
        <v>457900.51439270668</v>
      </c>
      <c r="H113" s="53"/>
      <c r="I113" s="53"/>
      <c r="J113" s="53"/>
    </row>
    <row r="114" spans="1:10" ht="14.5" x14ac:dyDescent="0.35">
      <c r="A114" s="50">
        <v>7.0000000000000007E-2</v>
      </c>
      <c r="B114" s="51">
        <v>7796229.8066288736</v>
      </c>
      <c r="C114" s="51">
        <v>2520268.071020382</v>
      </c>
      <c r="D114" s="52">
        <v>1468553.2131545674</v>
      </c>
      <c r="E114" s="51">
        <v>772642.6890829897</v>
      </c>
      <c r="F114" s="51">
        <v>616418.70666371426</v>
      </c>
      <c r="G114" s="51">
        <v>509255.24181682989</v>
      </c>
      <c r="H114" s="53"/>
      <c r="I114" s="53"/>
      <c r="J114" s="53"/>
    </row>
    <row r="115" spans="1:10" ht="14.5" x14ac:dyDescent="0.35">
      <c r="A115" s="50">
        <v>0.09</v>
      </c>
      <c r="B115" s="51" t="str">
        <v>NA</v>
      </c>
      <c r="C115" s="51">
        <v>7247947.5882207174</v>
      </c>
      <c r="D115" s="52">
        <v>2348338.4585211091</v>
      </c>
      <c r="E115" s="51">
        <v>954682.97864528361</v>
      </c>
      <c r="F115" s="51">
        <v>724606.13565838942</v>
      </c>
      <c r="G115" s="51">
        <v>579284.4155769978</v>
      </c>
      <c r="H115" s="53"/>
      <c r="I115" s="53"/>
      <c r="J115" s="53"/>
    </row>
    <row r="116" spans="1:10" ht="14.5" x14ac:dyDescent="0.35">
      <c r="A116" s="50">
        <v>0.1</v>
      </c>
      <c r="B116" s="51" t="str">
        <v>NA</v>
      </c>
      <c r="C116" s="51" t="str">
        <v>NA</v>
      </c>
      <c r="D116" s="52">
        <v>3448070.015229288</v>
      </c>
      <c r="E116" s="51">
        <v>1091213.1958170044</v>
      </c>
      <c r="F116" s="51">
        <v>798984.99309222854</v>
      </c>
      <c r="G116" s="51">
        <v>624803.37852110714</v>
      </c>
      <c r="H116" s="53"/>
      <c r="I116" s="53"/>
      <c r="J116" s="53"/>
    </row>
    <row r="117" spans="1:10" ht="14.5" x14ac:dyDescent="0.35">
      <c r="A117" s="50">
        <v>0.12</v>
      </c>
      <c r="B117" s="51" t="str">
        <v>NA</v>
      </c>
      <c r="C117" s="51" t="str">
        <v>NA</v>
      </c>
      <c r="D117" s="52" t="str">
        <v>NA</v>
      </c>
      <c r="E117" s="51">
        <v>1569068.9559180262</v>
      </c>
      <c r="F117" s="51">
        <v>1022121.565393746</v>
      </c>
      <c r="G117" s="51">
        <v>749980.52661740745</v>
      </c>
      <c r="H117" s="53"/>
      <c r="I117" s="53"/>
      <c r="J117" s="53"/>
    </row>
    <row r="118" spans="1:10" ht="14.5" x14ac:dyDescent="0.35">
      <c r="A118" s="50">
        <v>0.14000000000000001</v>
      </c>
      <c r="B118" s="51" t="str">
        <v>NA</v>
      </c>
      <c r="C118" s="51" t="str">
        <v>NA</v>
      </c>
      <c r="D118" s="52" t="str">
        <v>NA</v>
      </c>
      <c r="E118" s="51">
        <v>3002636.2362210942</v>
      </c>
      <c r="F118" s="51">
        <v>1468394.7099967818</v>
      </c>
      <c r="G118" s="51">
        <v>958609.10677790816</v>
      </c>
      <c r="H118" s="53"/>
      <c r="I118" s="53"/>
      <c r="J118" s="53"/>
    </row>
    <row r="119" spans="1:10" ht="13" x14ac:dyDescent="0.3">
      <c r="B119" s="47"/>
    </row>
  </sheetData>
  <mergeCells count="4">
    <mergeCell ref="A1:H1"/>
    <mergeCell ref="A66:H66"/>
    <mergeCell ref="C108:F108"/>
    <mergeCell ref="C85:D86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93587-BA34-4C36-85C9-15C078E77749}">
  <sheetPr codeName="Sheet13"/>
  <dimension ref="A1:K46"/>
  <sheetViews>
    <sheetView zoomScale="81" workbookViewId="0">
      <selection activeCell="B12" sqref="B12"/>
    </sheetView>
  </sheetViews>
  <sheetFormatPr defaultRowHeight="14.5" x14ac:dyDescent="0.35"/>
  <cols>
    <col min="1" max="1" width="26.36328125" bestFit="1" customWidth="1"/>
    <col min="2" max="2" width="13.1796875" customWidth="1"/>
    <col min="3" max="3" width="60.453125" bestFit="1" customWidth="1"/>
    <col min="10" max="10" width="39.54296875" bestFit="1" customWidth="1"/>
    <col min="11" max="11" width="9.1796875" bestFit="1" customWidth="1"/>
  </cols>
  <sheetData>
    <row r="1" spans="1:10" ht="18" x14ac:dyDescent="0.4">
      <c r="A1" s="103" t="s">
        <v>238</v>
      </c>
      <c r="B1" s="103"/>
      <c r="C1" s="103"/>
    </row>
    <row r="2" spans="1:10" x14ac:dyDescent="0.35">
      <c r="A2" s="62" t="s">
        <v>160</v>
      </c>
      <c r="B2" s="64">
        <v>12580</v>
      </c>
      <c r="C2" s="63"/>
    </row>
    <row r="3" spans="1:10" x14ac:dyDescent="0.35">
      <c r="A3" s="62" t="s">
        <v>237</v>
      </c>
      <c r="B3" s="62">
        <v>88.23</v>
      </c>
      <c r="C3" s="63"/>
    </row>
    <row r="4" spans="1:10" x14ac:dyDescent="0.35">
      <c r="A4" s="63" t="s">
        <v>146</v>
      </c>
      <c r="B4" s="64">
        <f>B2*B3</f>
        <v>1109933.4000000001</v>
      </c>
      <c r="C4" s="63" t="str">
        <f ca="1">"&lt;--"&amp;_xlfn.FORMULATEXT(B4)</f>
        <v>&lt;--=B2*B3</v>
      </c>
    </row>
    <row r="5" spans="1:10" x14ac:dyDescent="0.35">
      <c r="A5" s="63" t="s">
        <v>147</v>
      </c>
      <c r="B5" s="64">
        <v>0</v>
      </c>
      <c r="C5" s="66" t="str">
        <f>"&lt;--It is set to zero because the net debt value is negative i.e., company have more cash and marketable securities compare to debt"</f>
        <v>&lt;--It is set to zero because the net debt value is negative i.e., company have more cash and marketable securities compare to debt</v>
      </c>
    </row>
    <row r="6" spans="1:10" ht="15.5" x14ac:dyDescent="0.4">
      <c r="A6" s="63" t="s">
        <v>148</v>
      </c>
      <c r="B6" s="65">
        <f>B11+'Interest Rate on Debt Analysis'!B7</f>
        <v>4.7576944257647899E-2</v>
      </c>
      <c r="C6" s="63"/>
      <c r="J6" s="9"/>
    </row>
    <row r="7" spans="1:10" ht="15.5" x14ac:dyDescent="0.4">
      <c r="A7" s="63" t="s">
        <v>149</v>
      </c>
      <c r="B7" s="65">
        <f>'GOOGL pro-forma'!C12</f>
        <v>0.157</v>
      </c>
      <c r="C7" s="63"/>
    </row>
    <row r="8" spans="1:10" x14ac:dyDescent="0.35">
      <c r="A8" s="66" t="s">
        <v>251</v>
      </c>
      <c r="B8" s="87">
        <f>B6*(1-B7)</f>
        <v>4.0107364009197177E-2</v>
      </c>
      <c r="C8" s="63"/>
    </row>
    <row r="9" spans="1:10" x14ac:dyDescent="0.35">
      <c r="A9" s="63"/>
      <c r="B9" s="63"/>
      <c r="C9" s="63"/>
    </row>
    <row r="10" spans="1:10" x14ac:dyDescent="0.35">
      <c r="A10" s="66" t="s">
        <v>150</v>
      </c>
      <c r="B10" s="63"/>
      <c r="C10" s="63"/>
    </row>
    <row r="11" spans="1:10" ht="15.5" x14ac:dyDescent="0.4">
      <c r="A11" s="63" t="s">
        <v>151</v>
      </c>
      <c r="B11" s="65">
        <v>3.8800000000000001E-2</v>
      </c>
      <c r="C11" s="63" t="s">
        <v>156</v>
      </c>
    </row>
    <row r="12" spans="1:10" ht="15.5" x14ac:dyDescent="0.4">
      <c r="A12" s="63" t="s">
        <v>152</v>
      </c>
      <c r="B12" s="65">
        <f>'E(rM)'!B5</f>
        <v>0.1</v>
      </c>
      <c r="C12" s="63" t="s">
        <v>153</v>
      </c>
    </row>
    <row r="13" spans="1:10" x14ac:dyDescent="0.35">
      <c r="A13" s="63" t="s">
        <v>154</v>
      </c>
      <c r="B13" s="62">
        <v>1.03</v>
      </c>
      <c r="C13" s="63" t="s">
        <v>239</v>
      </c>
    </row>
    <row r="14" spans="1:10" ht="15" x14ac:dyDescent="0.4">
      <c r="A14" s="66" t="s">
        <v>254</v>
      </c>
      <c r="B14" s="87">
        <f>B11+B13*(B12-B11)</f>
        <v>0.10183600000000001</v>
      </c>
      <c r="C14" s="63" t="str">
        <f ca="1">"&lt;--"&amp;_xlfn.FORMULATEXT(B14)</f>
        <v>&lt;--=B11+B13*(B12-B11)</v>
      </c>
    </row>
    <row r="15" spans="1:10" x14ac:dyDescent="0.35">
      <c r="A15" s="88" t="s">
        <v>155</v>
      </c>
      <c r="B15" s="89">
        <f>$B$5/SUM($B$4:$B$5)*$B$8+$B$4/SUM($B$4:$B$5)*B14</f>
        <v>0.10183600000000001</v>
      </c>
      <c r="C15" s="63" t="str">
        <f ca="1">"&lt;--"&amp;_xlfn.FORMULATEXT(B15)</f>
        <v>&lt;--=$B$5/SUM($B$4:$B$5)*$B$8+$B$4/SUM($B$4:$B$5)*B14</v>
      </c>
    </row>
    <row r="19" spans="10:11" x14ac:dyDescent="0.35">
      <c r="K19" s="67"/>
    </row>
    <row r="20" spans="10:11" x14ac:dyDescent="0.35">
      <c r="K20" s="67"/>
    </row>
    <row r="22" spans="10:11" x14ac:dyDescent="0.35">
      <c r="K22" s="14"/>
    </row>
    <row r="23" spans="10:11" x14ac:dyDescent="0.35">
      <c r="K23" s="14"/>
    </row>
    <row r="27" spans="10:11" x14ac:dyDescent="0.35">
      <c r="J27" s="9"/>
    </row>
    <row r="30" spans="10:11" x14ac:dyDescent="0.35">
      <c r="K30" s="14"/>
    </row>
    <row r="31" spans="10:11" x14ac:dyDescent="0.35">
      <c r="K31" s="14"/>
    </row>
    <row r="36" spans="10:11" x14ac:dyDescent="0.35">
      <c r="J36" s="4"/>
    </row>
    <row r="41" spans="10:11" x14ac:dyDescent="0.35">
      <c r="K41" s="14"/>
    </row>
    <row r="42" spans="10:11" x14ac:dyDescent="0.35">
      <c r="K42" s="14"/>
    </row>
    <row r="45" spans="10:11" x14ac:dyDescent="0.35">
      <c r="K45" s="14"/>
    </row>
    <row r="46" spans="10:11" x14ac:dyDescent="0.35">
      <c r="K46" s="14"/>
    </row>
  </sheetData>
  <mergeCells count="1">
    <mergeCell ref="A1:C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DCC0B-BC12-486C-8DB8-AD22A000CBF1}">
  <dimension ref="A1:C5"/>
  <sheetViews>
    <sheetView zoomScale="89" workbookViewId="0">
      <selection activeCell="C10" sqref="C10"/>
    </sheetView>
  </sheetViews>
  <sheetFormatPr defaultRowHeight="14.5" x14ac:dyDescent="0.35"/>
  <cols>
    <col min="1" max="1" width="44.1796875" bestFit="1" customWidth="1"/>
    <col min="2" max="2" width="6.81640625" bestFit="1" customWidth="1"/>
    <col min="3" max="3" width="38.90625" bestFit="1" customWidth="1"/>
  </cols>
  <sheetData>
    <row r="1" spans="1:3" ht="18" x14ac:dyDescent="0.35">
      <c r="A1" s="104" t="s">
        <v>240</v>
      </c>
      <c r="B1" s="104"/>
      <c r="C1" s="104"/>
    </row>
    <row r="2" spans="1:3" x14ac:dyDescent="0.35">
      <c r="A2" s="38" t="s">
        <v>244</v>
      </c>
      <c r="B2" s="79">
        <v>88.23</v>
      </c>
      <c r="C2" s="38" t="str">
        <f>"&lt;-- Market price on 31 December, 2022"</f>
        <v>&lt;-- Market price on 31 December, 2022</v>
      </c>
    </row>
    <row r="3" spans="1:3" x14ac:dyDescent="0.35">
      <c r="A3" s="38" t="s">
        <v>241</v>
      </c>
      <c r="B3" s="80">
        <v>0</v>
      </c>
      <c r="C3" s="38" t="s">
        <v>253</v>
      </c>
    </row>
    <row r="4" spans="1:3" x14ac:dyDescent="0.35">
      <c r="A4" s="38" t="s">
        <v>242</v>
      </c>
      <c r="B4" s="68">
        <v>0.1</v>
      </c>
      <c r="C4" s="38" t="s">
        <v>252</v>
      </c>
    </row>
    <row r="5" spans="1:3" ht="15.5" x14ac:dyDescent="0.4">
      <c r="A5" s="81" t="s">
        <v>243</v>
      </c>
      <c r="B5" s="82">
        <f>B3*(1+B4)/B2+B4</f>
        <v>0.1</v>
      </c>
      <c r="C5" s="38" t="str">
        <f ca="1">_xlfn.FORMULATEXT(B5)</f>
        <v>=B3*(1+B4)/B2+B4</v>
      </c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GOOGL Income Statement</vt:lpstr>
      <vt:lpstr>GOOGL Balance Sheet</vt:lpstr>
      <vt:lpstr>GOOGL Cash-flows</vt:lpstr>
      <vt:lpstr>YoY sales growth</vt:lpstr>
      <vt:lpstr>Operating costs analysis</vt:lpstr>
      <vt:lpstr>NWC analysis</vt:lpstr>
      <vt:lpstr>Fixed asset analysis</vt:lpstr>
      <vt:lpstr>Depreciation analysis</vt:lpstr>
      <vt:lpstr>Dividend analysis</vt:lpstr>
      <vt:lpstr>Liabilities analysis</vt:lpstr>
      <vt:lpstr>Interest Rate on Debt Analysis</vt:lpstr>
      <vt:lpstr>Tax rate analysis</vt:lpstr>
      <vt:lpstr>rf</vt:lpstr>
      <vt:lpstr>Cash and Cash Equivalents</vt:lpstr>
      <vt:lpstr>GOOGL pro-forma</vt:lpstr>
      <vt:lpstr>WACC</vt:lpstr>
      <vt:lpstr>E(rM)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 Mofkadi</dc:creator>
  <cp:lastModifiedBy>vinay kedia</cp:lastModifiedBy>
  <dcterms:created xsi:type="dcterms:W3CDTF">2019-04-20T15:06:28Z</dcterms:created>
  <dcterms:modified xsi:type="dcterms:W3CDTF">2023-12-06T02:12:56Z</dcterms:modified>
</cp:coreProperties>
</file>